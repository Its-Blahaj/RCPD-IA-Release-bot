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ord  General Offenses" sheetId="1" r:id="rId5"/>
    <sheet state="visible" name="In-Game Offenses — Criminal Con" sheetId="2" r:id="rId6"/>
    <sheet state="visible" name=" In-Game Offenses — Patrol &amp; Du" sheetId="3" r:id="rId7"/>
    <sheet state="visible" name="Use of Force &amp; Arrest Procedure" sheetId="4" r:id="rId8"/>
    <sheet state="visible" name="Equipment, Uniforms &amp; Departmen" sheetId="5" r:id="rId9"/>
    <sheet state="visible" name="Reports, Evidence &amp; Investigati" sheetId="6" r:id="rId10"/>
    <sheet state="visible" name="Command, Rank &amp; Supervisory Mis" sheetId="7" r:id="rId11"/>
    <sheet state="visible" name="Internal Affairs Compliance &amp; I" sheetId="8" r:id="rId12"/>
    <sheet state="visible" name="Communications, Radio &amp; Digital" sheetId="9" r:id="rId13"/>
    <sheet state="visible" name="Attendance, Activity &amp; Training" sheetId="10" r:id="rId14"/>
    <sheet state="visible" name="Specialized Units &amp; Restricted " sheetId="11" r:id="rId15"/>
    <sheet state="visible" name="Public Conduct, Harassment &amp; Re" sheetId="12" r:id="rId16"/>
    <sheet state="visible" name="Recruitment, Personnel &amp; Depart" sheetId="13" r:id="rId17"/>
    <sheet state="visible" name="Serious Integrity Violations" sheetId="14" r:id="rId18"/>
    <sheet state="visible" name="Disciplinary Procedure &amp; Case O" sheetId="15" r:id="rId19"/>
    <sheet state="visible" name="General Disciplinary Rules" sheetId="16" r:id="rId20"/>
  </sheets>
  <definedNames/>
  <calcPr/>
</workbook>
</file>

<file path=xl/sharedStrings.xml><?xml version="1.0" encoding="utf-8"?>
<sst xmlns="http://schemas.openxmlformats.org/spreadsheetml/2006/main" count="1108" uniqueCount="658">
  <si>
    <t>ID</t>
  </si>
  <si>
    <t>Offense</t>
  </si>
  <si>
    <t>Severity</t>
  </si>
  <si>
    <t>Punishment</t>
  </si>
  <si>
    <t>Traffic Crimes While Representing RCPD</t>
  </si>
  <si>
    <t>Major Inactivity</t>
  </si>
  <si>
    <t>Moderate</t>
  </si>
  <si>
    <t>Minor–Moderate</t>
  </si>
  <si>
    <t>1st: Written Warning → 2nd: Strike → 3rd: Demotion</t>
  </si>
  <si>
    <t>1st–2nd: Verbal or Written Warning → 3rd: Strike</t>
  </si>
  <si>
    <t>Failure to End Shift</t>
  </si>
  <si>
    <t>Failure to Carry Out Administrative Duties</t>
  </si>
  <si>
    <t>Minor Crimes While Representing RCPD</t>
  </si>
  <si>
    <t>Minor</t>
  </si>
  <si>
    <t>Minor Use of Force Violation</t>
  </si>
  <si>
    <t>1st: Verbal Warning + Incorrect Shift Wiped → 2nd: Written Warning + Incorrect Shift Wiped → 3rd: Strike</t>
  </si>
  <si>
    <t>Strike</t>
  </si>
  <si>
    <t>1st: Written Warning → 2nd: Strike</t>
  </si>
  <si>
    <t>Major Crimes While Representing RCPD</t>
  </si>
  <si>
    <t>Disrespect</t>
  </si>
  <si>
    <t>Major</t>
  </si>
  <si>
    <t>1st: Verbal Warning → 2nd: Written Warning → 3rd: Strike</t>
  </si>
  <si>
    <t>Suspension or Demotion + Strike</t>
  </si>
  <si>
    <t>Intentionally Disregarding Patrol Duties — Minor</t>
  </si>
  <si>
    <t>Minor Insubordination</t>
  </si>
  <si>
    <t>Severe Crimes While Representing RCPD</t>
  </si>
  <si>
    <t>Severe</t>
  </si>
  <si>
    <t>1st: Written Warning → 2nd: Strike or Suspension</t>
  </si>
  <si>
    <t>Major Use of Force Violation</t>
  </si>
  <si>
    <t>Termination</t>
  </si>
  <si>
    <t>Major Insubordination</t>
  </si>
  <si>
    <t>Intentionally Disregarding Patrol Duties — Major</t>
  </si>
  <si>
    <t>Major–Severe</t>
  </si>
  <si>
    <t>Criminal Conduct While Off Duty but Identifiably Representing RCPD</t>
  </si>
  <si>
    <t>1st: Strike → 2nd: Suspension or Termination</t>
  </si>
  <si>
    <t>Moderate–Severe</t>
  </si>
  <si>
    <t>1st: Strike → 2nd: Suspension or Demotion</t>
  </si>
  <si>
    <t>Written Warning or Strike; serious cases: Suspension or Termination</t>
  </si>
  <si>
    <t>Accidental Minor Leaking</t>
  </si>
  <si>
    <t>Severe or Repeated Major Use of Force Violations</t>
  </si>
  <si>
    <t>Verbal or Written Warning</t>
  </si>
  <si>
    <t>Patrol Without Supervisor While on Probation</t>
  </si>
  <si>
    <t>Abuse of Police Authority for Personal Gain</t>
  </si>
  <si>
    <t>Minor–Major</t>
  </si>
  <si>
    <t>1st: Written Warning → 2nd: Strike → 3rd: Termination</t>
  </si>
  <si>
    <t>Deliberate Minor Leaking</t>
  </si>
  <si>
    <t>Suspension or Termination</t>
  </si>
  <si>
    <t>Unjustified Weapon Deployment</t>
  </si>
  <si>
    <t>Moderate–Major</t>
  </si>
  <si>
    <t>Patrol While Under Investigation or on Administrative Leave</t>
  </si>
  <si>
    <t>Strike or Suspension</t>
  </si>
  <si>
    <t>Strike + Suspension; severe cases: Termination</t>
  </si>
  <si>
    <t>False Arrest or Deliberately Fabricated Charges</t>
  </si>
  <si>
    <t>1st: Written Warning → 2nd: Strike → 3rd: Suspension</t>
  </si>
  <si>
    <t>Major Leaking</t>
  </si>
  <si>
    <t>Unauthorized Discharge of a Firearm</t>
  </si>
  <si>
    <t>Termination + Blacklist</t>
  </si>
  <si>
    <t>Patrol While Suspended</t>
  </si>
  <si>
    <t>Excessive Force</t>
  </si>
  <si>
    <t>Unlawful Detention</t>
  </si>
  <si>
    <t>Impersonating Staff</t>
  </si>
  <si>
    <t>1st: Extended Suspension → 2nd: Demotion + Extended Suspension or Strike + Extended Suspension</t>
  </si>
  <si>
    <t>Suspension + Strike; severe cases: Termination</t>
  </si>
  <si>
    <t>Strike or Suspension; repeated or severe cases: Termination</t>
  </si>
  <si>
    <t>1st: Written Warning → 2nd: Strike; severe cases: Suspension or Termination</t>
  </si>
  <si>
    <t>Failure to De-escalate When Required</t>
  </si>
  <si>
    <t>Unauthorized Absence From Duty</t>
  </si>
  <si>
    <t>Failure to Comply with Internal Affairs</t>
  </si>
  <si>
    <t>Written Warning → Strike; serious cases: Suspension</t>
  </si>
  <si>
    <t>Unauthorized Search or Seizure</t>
  </si>
  <si>
    <t>Failure to Render or Request Medical Aid</t>
  </si>
  <si>
    <t>Written Warning or Strike; serious cases: Suspension</t>
  </si>
  <si>
    <t>Strike or Suspension; serious harm: Termination</t>
  </si>
  <si>
    <t>Minor Misconduct</t>
  </si>
  <si>
    <t>Abandoning an Active Scene</t>
  </si>
  <si>
    <t>Failure to Report a Use-of-Force Incident</t>
  </si>
  <si>
    <t>Bribery or Accepting Improper Benefits</t>
  </si>
  <si>
    <t>Written Warning → Strike; deliberate concealment: Suspension</t>
  </si>
  <si>
    <t>Major Misconduct</t>
  </si>
  <si>
    <t>Failure to Respond to Assigned Calls</t>
  </si>
  <si>
    <t>Falsifying a Use-of-Force Report</t>
  </si>
  <si>
    <t>Strike, Suspension, or Demotion</t>
  </si>
  <si>
    <t>Theft While Representing RCPD</t>
  </si>
  <si>
    <t>Severe Misconduct</t>
  </si>
  <si>
    <t>Improper Handcuffing or Restraint Use</t>
  </si>
  <si>
    <t>Suspension + Strike, Demotion + Strike, or Termination</t>
  </si>
  <si>
    <t>Neglecting Assigned Patrol Area</t>
  </si>
  <si>
    <t>Written Warning → Strike; serious harm: Suspension</t>
  </si>
  <si>
    <t>Leaving Server Without Notice While Employed</t>
  </si>
  <si>
    <t>Assault Without Justification</t>
  </si>
  <si>
    <t>Unjustified Tasing</t>
  </si>
  <si>
    <t>1st: Immediate Appealable Blacklist → 2nd: Temporary Blacklist</t>
  </si>
  <si>
    <t>Strike + Suspension; severe or repeated cases: Termination</t>
  </si>
  <si>
    <t>Falsifying Patrol Hours</t>
  </si>
  <si>
    <t>Inappropriate Conduct in Department Channels</t>
  </si>
  <si>
    <t>Improper Use of Less-Lethal Weapons</t>
  </si>
  <si>
    <t>Strike + Suspension; repeated or deliberate cases: Termination</t>
  </si>
  <si>
    <t>Evidence Tampering or Destruction</t>
  </si>
  <si>
    <t>Using Force as Punishment or Retaliation</t>
  </si>
  <si>
    <t>Spam or Channel Disruption</t>
  </si>
  <si>
    <t>[REMOVED]</t>
  </si>
  <si>
    <t>Falsifying Official Records or Reports</t>
  </si>
  <si>
    <t>Failure to Complete Required Shift Documentation</t>
  </si>
  <si>
    <t>Failure to Follow Arrest Procedures</t>
  </si>
  <si>
    <t>Unauthorized Pinging or Mass Mentions</t>
  </si>
  <si>
    <t>Strike + Suspension; deliberate or serious cases: Termination</t>
  </si>
  <si>
    <t>Verbal Warning → Written Warning → Strike; serious cases: Suspension</t>
  </si>
  <si>
    <t>Improper Search Procedure</t>
  </si>
  <si>
    <t>Unauthorized Release of a Suspect</t>
  </si>
  <si>
    <t>Leaving Duty Without Proper Sign-Off</t>
  </si>
  <si>
    <t>Unauthorized Sharing of Internal Documents</t>
  </si>
  <si>
    <t>Written Warning or Strike; repeated or serious cases: Suspension</t>
  </si>
  <si>
    <t>Written Warning or Strike for minor cases; Suspension or Termination for serious breaches</t>
  </si>
  <si>
    <t>Unjustified Traffic Stop</t>
  </si>
  <si>
    <t>Falsifying Activity Records</t>
  </si>
  <si>
    <t>Written Warning → Strike; deliberate abuse: Suspension</t>
  </si>
  <si>
    <t>Knowingly Assisting a Suspect in Evading Arrest</t>
  </si>
  <si>
    <t>Repeated Failure to Maintain Required Activity</t>
  </si>
  <si>
    <t>Strike → Suspension or Demotion; deliberate or repeated cases: Termination</t>
  </si>
  <si>
    <t>Failure to Follow Pursuit Policy</t>
  </si>
  <si>
    <t>Written Warning → Strike → Demotion</t>
  </si>
  <si>
    <t>Written Warning or Strike; dangerous or repeated cases: Suspension or Termination</t>
  </si>
  <si>
    <t>Falsifying Administrative Records</t>
  </si>
  <si>
    <t>Suspension, Demotion, or Termination</t>
  </si>
  <si>
    <t>Reckless Driving During an Emergency Response</t>
  </si>
  <si>
    <t>Failure to Follow Scene Command</t>
  </si>
  <si>
    <t>Written Warning or Strike; serious endangerment: Suspension</t>
  </si>
  <si>
    <t>Failure to Respond to Official Notices</t>
  </si>
  <si>
    <t>Written Warning or Strike; deliberate or repeated cases: Suspension</t>
  </si>
  <si>
    <t>Unauthorized Use of Spike Strips or Roadblocks</t>
  </si>
  <si>
    <t>Written Warning or Strike; serious consequences: Suspension</t>
  </si>
  <si>
    <t>Unauthorized Use of Department Channels</t>
  </si>
  <si>
    <t>Improper Use of Police Vehicle to Strike a Person or Vehicle</t>
  </si>
  <si>
    <t>Failure to Assist When Required</t>
  </si>
  <si>
    <t>Harassment of Department Members</t>
  </si>
  <si>
    <t>Written Warning → Strike; serious neglect: Suspension</t>
  </si>
  <si>
    <t>Failure to Secure a Scene or Suspect</t>
  </si>
  <si>
    <t>Written Warning or Strike; severe or repeated cases: Suspension or Termination</t>
  </si>
  <si>
    <t>Written Warning → Strike; serious escape or harm: Suspension</t>
  </si>
  <si>
    <t>Sleeping, AFK, or Inactive While Assigned to Duty</t>
  </si>
  <si>
    <t>Discriminatory Remarks or Conduct</t>
  </si>
  <si>
    <t>Strike or Suspension; severe or repeated cases: Termination</t>
  </si>
  <si>
    <t>Falsely Claiming to Be on Duty</t>
  </si>
  <si>
    <t>Threatening or Violent Statements</t>
  </si>
  <si>
    <t>Strike or Suspension; credible serious threats: Termination</t>
  </si>
  <si>
    <t>Retaliation Against a Complainant or Witness</t>
  </si>
  <si>
    <t>Suspension or Demotion; severe cases: Termination</t>
  </si>
  <si>
    <t>Failure to Follow Supervisor Instructions During Patrol</t>
  </si>
  <si>
    <t>False Accusations Against Department Members</t>
  </si>
  <si>
    <t>Incorrect Uniform, Equipment, or Vehicle Regulations</t>
  </si>
  <si>
    <t>Written Warning → Strike; serious insubordination: Suspension</t>
  </si>
  <si>
    <t>Written Warning or Strike for negligent claims; deliberate fabrication: Suspension or Termination</t>
  </si>
  <si>
    <t>Abuse of Rank in Discord</t>
  </si>
  <si>
    <t>Strike → Demotion; severe cases: Suspension or Removal from Command</t>
  </si>
  <si>
    <t>Minor Misuse of Tools / Resources</t>
  </si>
  <si>
    <t>Unauthorized Department Announcements</t>
  </si>
  <si>
    <t>1st: Verbal Warning → 2nd: Written Warning or Strike</t>
  </si>
  <si>
    <t>Sharing Account Access or Credentials</t>
  </si>
  <si>
    <t>Major Misuse of Tools / Resources</t>
  </si>
  <si>
    <t>Strike or Suspension; resulting compromise: Demotion or Termination</t>
  </si>
  <si>
    <t>Strike; repeated or serious cases: Suspension</t>
  </si>
  <si>
    <t>Evading Department Disciplinary Action</t>
  </si>
  <si>
    <t>Failure to Submit Required Report</t>
  </si>
  <si>
    <t>Unauthorized Use of Restricted Tools</t>
  </si>
  <si>
    <t>Strike or Suspension; repeated or deliberate evasion: Demotion or Termination</t>
  </si>
  <si>
    <t>Verbal Warning → Written Warning → Strike</t>
  </si>
  <si>
    <t>Unauthorized Resignation or Personnel Record Changes</t>
  </si>
  <si>
    <t>Written Warning or Strike; deliberate misuse: Suspension</t>
  </si>
  <si>
    <t>Strike, Demotion, or Suspension</t>
  </si>
  <si>
    <t>Late Report Submission</t>
  </si>
  <si>
    <t>Unauthorized Vehicle Use</t>
  </si>
  <si>
    <t>Refusal to Return Department Property or Access</t>
  </si>
  <si>
    <t>CS-001</t>
  </si>
  <si>
    <t>Written Warning → Strike → Suspension</t>
  </si>
  <si>
    <t>Negligently Inaccurate Report</t>
  </si>
  <si>
    <t>Written Warning or Strike → Suspension; deliberate misuse: Termination</t>
  </si>
  <si>
    <t>Abuse of Rank</t>
  </si>
  <si>
    <t>Written Warning → Strike; repeated cases: Suspension</t>
  </si>
  <si>
    <t>Reckless Operation of Department Vehicles</t>
  </si>
  <si>
    <t>Misuse of Department Bots or Automated Systems</t>
  </si>
  <si>
    <t>1st: Written Warning; 2nd: Strike; 3rd: Demotion</t>
  </si>
  <si>
    <t>Knowingly Falsifying an Official Report</t>
  </si>
  <si>
    <t>CS-002</t>
  </si>
  <si>
    <t>Verbal Warning → Written Warning or Strike; deliberate abuse: Suspension</t>
  </si>
  <si>
    <t>Abuse of Command Authority</t>
  </si>
  <si>
    <t>Failure to Report Serious Misconduct</t>
  </si>
  <si>
    <t>Evidence Tampering</t>
  </si>
  <si>
    <t>Intentional Damage to Department Property</t>
  </si>
  <si>
    <t>Strike + Suspension; severe cases: Demotion or Termination</t>
  </si>
  <si>
    <t>Written Warning or Strike; deliberate concealment: Suspension or Demotion</t>
  </si>
  <si>
    <t>CS-003</t>
  </si>
  <si>
    <t>DG-036</t>
  </si>
  <si>
    <t>Unlawful or Unauthorized Orders</t>
  </si>
  <si>
    <t>Unnecessary or Abusive Ticket Creation</t>
  </si>
  <si>
    <t>Negligent Loss of Department Equipment</t>
  </si>
  <si>
    <t>Evidence Destruction or Concealment</t>
  </si>
  <si>
    <t>Minor to Moderate</t>
  </si>
  <si>
    <t>Verbal Warning or Written Warning; repeated offenses: Strike; deliberate spam or malicious abuse: Suspension or Ticket Blacklist</t>
  </si>
  <si>
    <t>Written Warning + Order Revocation; repeated cases: Strike + Suspension</t>
  </si>
  <si>
    <t>CS-004</t>
  </si>
  <si>
    <t>Failure to Preserve Evidence</t>
  </si>
  <si>
    <t>Failure to Supervise</t>
  </si>
  <si>
    <t>Unauthorized Transfer of Equipment</t>
  </si>
  <si>
    <t>Written Warning or Strike; serious loss: Suspension</t>
  </si>
  <si>
    <t>Unauthorized Access to Evidence</t>
  </si>
  <si>
    <t>CS-005</t>
  </si>
  <si>
    <t>Negligent Supervision</t>
  </si>
  <si>
    <t>Unauthorized Weapon or Equipment Possession</t>
  </si>
  <si>
    <t>Evidence Theft</t>
  </si>
  <si>
    <t>Strike + Demotion; severe cases: Suspension</t>
  </si>
  <si>
    <t>CS-006</t>
  </si>
  <si>
    <t>Favoritism or Nepotism</t>
  </si>
  <si>
    <t>Chain of Custody Violation</t>
  </si>
  <si>
    <t>Improper Storage of Department Equipment</t>
  </si>
  <si>
    <t>Written Warning → Strike; serious compromise: Suspension</t>
  </si>
  <si>
    <t>Written Warning; repeated cases: Strike + Removal from Supervisory Duties</t>
  </si>
  <si>
    <t>CS-007</t>
  </si>
  <si>
    <t>Unauthorized Disclosure of Case Information</t>
  </si>
  <si>
    <t>Retaliation Against Subordinates</t>
  </si>
  <si>
    <t>Strike or Suspension; serious disclosure: Termination</t>
  </si>
  <si>
    <t>Misuse of Emergency Lights or Sirens</t>
  </si>
  <si>
    <t>CS-008</t>
  </si>
  <si>
    <t>Threatening Subordinates</t>
  </si>
  <si>
    <t>IA-001</t>
  </si>
  <si>
    <t>Unauthorized Use of Specialized Vehicles</t>
  </si>
  <si>
    <t>Failure to Cooperate with Internal Affairs</t>
  </si>
  <si>
    <t>CS-009</t>
  </si>
  <si>
    <t>Written Warning; repeated cases: Strike + Suspension</t>
  </si>
  <si>
    <t>Improper Promotion or Demotion</t>
  </si>
  <si>
    <t>Written Warning or Strike; repeated cases: Suspension</t>
  </si>
  <si>
    <t>IA-002</t>
  </si>
  <si>
    <t>Refusal to Attend an IA Interview</t>
  </si>
  <si>
    <t>Written Warning + Reversal of Decision; repeated cases: Strike + Demotion</t>
  </si>
  <si>
    <t>Failure to Maintain Required Equipment</t>
  </si>
  <si>
    <t>Failure to Record Relevant Evidence</t>
  </si>
  <si>
    <t>CS-010</t>
  </si>
  <si>
    <t>Written Warning or Strike; deliberate omission: Suspension</t>
  </si>
  <si>
    <t>Unauthorized Disciplinary Action</t>
  </si>
  <si>
    <t>IA-003</t>
  </si>
  <si>
    <t>Providing False Statements to IA</t>
  </si>
  <si>
    <t>Improper Case Closure</t>
  </si>
  <si>
    <t>Suspension + Strike; deliberate or severe cases: Termination</t>
  </si>
  <si>
    <t>Theft of Department Property</t>
  </si>
  <si>
    <t>Written Warning or Strike; deliberate concealment: Suspension</t>
  </si>
  <si>
    <t>CS-011</t>
  </si>
  <si>
    <t>IA-004</t>
  </si>
  <si>
    <t>Failure to Enforce Department Policy</t>
  </si>
  <si>
    <t>Withholding Relevant Evidence</t>
  </si>
  <si>
    <t>Unauthorized Modification of Case Records</t>
  </si>
  <si>
    <t>Strike + Suspension; deliberate concealment: Termination</t>
  </si>
  <si>
    <t>IA-005</t>
  </si>
  <si>
    <t>CS-012</t>
  </si>
  <si>
    <t>Unauthorized Modification of Department Vehicles</t>
  </si>
  <si>
    <t>Destroying or Altering Evidence</t>
  </si>
  <si>
    <t>Concealing Subordinate Misconduct</t>
  </si>
  <si>
    <t>Strike + Suspension; deliberate falsification: Termination</t>
  </si>
  <si>
    <t>Immediate Administrative Suspension pending investigation; substantiated cases: Termination</t>
  </si>
  <si>
    <t>Failure to Preserve Required Bodycam or Recording Evidence</t>
  </si>
  <si>
    <t>IA-006</t>
  </si>
  <si>
    <t>CS-013</t>
  </si>
  <si>
    <t>Attempting to Influence an IA Investigation</t>
  </si>
  <si>
    <t>Written Warning or Strike; deliberate deletion: Suspension or Termination</t>
  </si>
  <si>
    <t>Misuse of Uniform or Badge to Obtain Personal Benefits</t>
  </si>
  <si>
    <t>Manipulation of Personnel Records</t>
  </si>
  <si>
    <t>Fabricating Evidence Against a Suspect</t>
  </si>
  <si>
    <t>IA-007</t>
  </si>
  <si>
    <t>CS-014</t>
  </si>
  <si>
    <t>Allowing an Unauthorized Person to Use Department Resources</t>
  </si>
  <si>
    <t>Unauthorized Sharing of Screenshots or Recordings</t>
  </si>
  <si>
    <t>Conflict of Interest</t>
  </si>
  <si>
    <t>IA-008</t>
  </si>
  <si>
    <t>Written Warning or Strike; confidential material: Suspension</t>
  </si>
  <si>
    <t>Unauthorized Disclosure of IA Information</t>
  </si>
  <si>
    <t>Strike or Suspension; serious security breach: Termination</t>
  </si>
  <si>
    <t>Written Warning + Removal from Case; repeated cases: Strike + Demotion</t>
  </si>
  <si>
    <t>Plagiarism or Improper Copying of Reports</t>
  </si>
  <si>
    <t>CS-015</t>
  </si>
  <si>
    <t>Strike + Suspension; repeated cases: Demotion</t>
  </si>
  <si>
    <t>Failure to Report Command Misconduct</t>
  </si>
  <si>
    <t>IA-009</t>
  </si>
  <si>
    <t>Failure to Preserve Investigation Records</t>
  </si>
  <si>
    <t>Failure to Document Seized Property</t>
  </si>
  <si>
    <t>Written Warning; deliberate concealment: Strike + Suspension</t>
  </si>
  <si>
    <t>CS-016</t>
  </si>
  <si>
    <t>Written Warning → Strike</t>
  </si>
  <si>
    <t>IA-010</t>
  </si>
  <si>
    <t>Unauthorized Use of Command Privileges</t>
  </si>
  <si>
    <t>Conflict of Interest in an IA Case</t>
  </si>
  <si>
    <t>Improper Handling of Confidential Case Files</t>
  </si>
  <si>
    <t>Immediate Removal from Case + Written Warning; repeated cases: Strike + Suspension</t>
  </si>
  <si>
    <t>Strike or Suspension; severe breach: Termination</t>
  </si>
  <si>
    <t>IA-011</t>
  </si>
  <si>
    <t>CS-017</t>
  </si>
  <si>
    <t>Bias in an IA Investigation</t>
  </si>
  <si>
    <t>Interference with an Investigation</t>
  </si>
  <si>
    <t>Strike + Suspension; deliberate bias: Demotion or Termination</t>
  </si>
  <si>
    <t>IA-012</t>
  </si>
  <si>
    <t>Fabricating Allegations</t>
  </si>
  <si>
    <t>CS-018</t>
  </si>
  <si>
    <t>Failure to Follow Chain of Command</t>
  </si>
  <si>
    <t>Suspension + Strike; deliberate or malicious fabrication: Termination</t>
  </si>
  <si>
    <t>IA-013</t>
  </si>
  <si>
    <t>1st: Verbal Warning; 2nd: Written Warning; 3rd: Strike; severe cases: Suspension</t>
  </si>
  <si>
    <t>Improperly Closing an IA Case</t>
  </si>
  <si>
    <t>CS-019</t>
  </si>
  <si>
    <t>CD-001</t>
  </si>
  <si>
    <t>Unprofessional Conduct by Command Staff</t>
  </si>
  <si>
    <t>Strike + Reopening of Case; repeated cases: Demotion</t>
  </si>
  <si>
    <t>Radio Misuse</t>
  </si>
  <si>
    <t>IA-014</t>
  </si>
  <si>
    <t>Written Warning + Strike; repeated cases: Demotion; severe cases: Termination</t>
  </si>
  <si>
    <t>Unauthorized Access to IA Files</t>
  </si>
  <si>
    <t>1st: Verbal Warning; 2nd: Written Warning; 3rd: Strike</t>
  </si>
  <si>
    <t>CS-020</t>
  </si>
  <si>
    <t>Strike + Suspension; deliberate misuse: Termination</t>
  </si>
  <si>
    <t>CD-002</t>
  </si>
  <si>
    <t>Excessive Radio Traffic</t>
  </si>
  <si>
    <t>Negligent Handling of Department Personnel</t>
  </si>
  <si>
    <t>AT-001</t>
  </si>
  <si>
    <t>CD-003</t>
  </si>
  <si>
    <t>Unauthorized Radio Channel Use</t>
  </si>
  <si>
    <t>IA-015</t>
  </si>
  <si>
    <t>Written Warning; repeated cases: Strike + Demotion</t>
  </si>
  <si>
    <t>Leaking Confidential IA Findings</t>
  </si>
  <si>
    <t>AT-002</t>
  </si>
  <si>
    <t>Failure to Attend Mandatory Training</t>
  </si>
  <si>
    <t>Suspension + Strike; deliberate or severe leaks: Termination</t>
  </si>
  <si>
    <t>CD-004</t>
  </si>
  <si>
    <t>IA-016</t>
  </si>
  <si>
    <t>Sharing Restricted Radio Information</t>
  </si>
  <si>
    <t>Failure to Escalate Serious Misconduct</t>
  </si>
  <si>
    <t>AT-003</t>
  </si>
  <si>
    <t>Repeated Absence Without Notice</t>
  </si>
  <si>
    <t>Written Warning; deliberate or repeated failure: Strike + Suspension</t>
  </si>
  <si>
    <t>IA-017</t>
  </si>
  <si>
    <t>CD-005</t>
  </si>
  <si>
    <t>Abuse of IA Authority</t>
  </si>
  <si>
    <t>AT-004</t>
  </si>
  <si>
    <t>Communications Disruption</t>
  </si>
  <si>
    <t>Falsifying Attendance Records</t>
  </si>
  <si>
    <t>Suspension + Demotion; severe cases: Termination</t>
  </si>
  <si>
    <t>Suspension + Strike; deliberate falsification: Termination</t>
  </si>
  <si>
    <t>IA-018</t>
  </si>
  <si>
    <t>Strike + Suspension; deliberate disruption: Termination</t>
  </si>
  <si>
    <t>AT-005</t>
  </si>
  <si>
    <t>Failure to Maintain Case Confidentiality</t>
  </si>
  <si>
    <t>Falsifying Training Completion</t>
  </si>
  <si>
    <t>CD-006</t>
  </si>
  <si>
    <t>Abusing Dispatch or Communications Systems</t>
  </si>
  <si>
    <t>Suspension + Strike; repeated or deliberate cases: Termination</t>
  </si>
  <si>
    <t>IA-019</t>
  </si>
  <si>
    <t>AT-006</t>
  </si>
  <si>
    <t>Manipulating Investigation Outcomes</t>
  </si>
  <si>
    <t>Failure to Complete Required Training</t>
  </si>
  <si>
    <t>Written Warning + Training Extension; repeated cases: Strike + Removal from Assignment</t>
  </si>
  <si>
    <t>CD-007</t>
  </si>
  <si>
    <t>IA-020</t>
  </si>
  <si>
    <t>AT-007</t>
  </si>
  <si>
    <t>False Emergency Broadcast</t>
  </si>
  <si>
    <t>Obstructing an IA Investigation</t>
  </si>
  <si>
    <t>Unauthorized Absence During Duty</t>
  </si>
  <si>
    <t>SU-001</t>
  </si>
  <si>
    <t>Suspension + Strike; severe or deliberate obstruction: Termination</t>
  </si>
  <si>
    <t>Unauthorized Deployment with a Specialized Unit</t>
  </si>
  <si>
    <t>AT-008</t>
  </si>
  <si>
    <t>Failure to Notify Supervisors of Absence</t>
  </si>
  <si>
    <t>CD-008</t>
  </si>
  <si>
    <t>Strike + Suspension; repeated cases: Removal from Unit</t>
  </si>
  <si>
    <t>Unauthorized Use of Department Platforms</t>
  </si>
  <si>
    <t>AT-009</t>
  </si>
  <si>
    <t>SU-002</t>
  </si>
  <si>
    <t>Abandoning a Scheduled Shift</t>
  </si>
  <si>
    <t>Use of Restricted Equipment Without Authorization</t>
  </si>
  <si>
    <t>CD-009</t>
  </si>
  <si>
    <t>AT-010</t>
  </si>
  <si>
    <t>Sharing Account Credentials</t>
  </si>
  <si>
    <t>Repeated Failure to Meet Activity Requirements</t>
  </si>
  <si>
    <t>SU-003</t>
  </si>
  <si>
    <t>Strike + Suspension; resulting compromise: Demotion or Termination</t>
  </si>
  <si>
    <t>AT-011</t>
  </si>
  <si>
    <t>Failure to Follow Specialized Unit SOPs</t>
  </si>
  <si>
    <t>False Activity Claims</t>
  </si>
  <si>
    <t>CD-010</t>
  </si>
  <si>
    <t>Unauthorized Access to Department Systems</t>
  </si>
  <si>
    <t>Written Warning; repeated cases: Strike + Removal from Unit</t>
  </si>
  <si>
    <t>AT-012</t>
  </si>
  <si>
    <t>Failure to Respond to Activity Checks</t>
  </si>
  <si>
    <t>SU-004</t>
  </si>
  <si>
    <t>Suspension + Strike; deliberate intrusion: Termination</t>
  </si>
  <si>
    <t>Unauthorized Disclosure of Unit Tactics</t>
  </si>
  <si>
    <t>Written Warning; repeated cases: Strike</t>
  </si>
  <si>
    <t>CD-011</t>
  </si>
  <si>
    <t>AT-013</t>
  </si>
  <si>
    <t>Manipulating Training Records</t>
  </si>
  <si>
    <t>Deleting Official Messages or Records</t>
  </si>
  <si>
    <t>Suspension + Strike; severe leaks: Termination</t>
  </si>
  <si>
    <t>SU-005</t>
  </si>
  <si>
    <t>Strike + Suspension; intentional destruction of evidence: Termination</t>
  </si>
  <si>
    <t>AT-014</t>
  </si>
  <si>
    <t>PR-001</t>
  </si>
  <si>
    <t>Abuse of Specialized Unit Authority</t>
  </si>
  <si>
    <t>Unauthorized Training Certification</t>
  </si>
  <si>
    <t>CD-012</t>
  </si>
  <si>
    <t>Unprofessional Public Conduct</t>
  </si>
  <si>
    <t>Using Unauthorized Bots or Scripts</t>
  </si>
  <si>
    <t>AT-015</t>
  </si>
  <si>
    <t>PR-002</t>
  </si>
  <si>
    <t>Failure to Complete Probation Requirements</t>
  </si>
  <si>
    <t>SU-006</t>
  </si>
  <si>
    <t>CD-013</t>
  </si>
  <si>
    <t>Probation Extension + Written Warning; continued failure: Demotion or Termination</t>
  </si>
  <si>
    <t>Failure to Maintain Required Unit Qualifications</t>
  </si>
  <si>
    <t>AT-016</t>
  </si>
  <si>
    <t>Strike + Suspension; severe or repeated harassment: Termination</t>
  </si>
  <si>
    <t>Spamming Department Systems</t>
  </si>
  <si>
    <t>Abusing Leave or Excuse Procedures</t>
  </si>
  <si>
    <t>PR-003</t>
  </si>
  <si>
    <t>Written Warning + Qualification Review; continued failure: Removal from Unit</t>
  </si>
  <si>
    <t>Discriminatory Conduct</t>
  </si>
  <si>
    <t>Written Warning; deliberate or repeated abuse: Strike + Suspension</t>
  </si>
  <si>
    <t>SU-007</t>
  </si>
  <si>
    <t>CD-014</t>
  </si>
  <si>
    <t>Strike + Suspension; severe or repeated discrimination: Termination</t>
  </si>
  <si>
    <t>Falsifying Specialized Training Records</t>
  </si>
  <si>
    <t>PR-004</t>
  </si>
  <si>
    <t>Impersonating Department Communications</t>
  </si>
  <si>
    <t>Strike + Suspension; malicious impersonation: Termination</t>
  </si>
  <si>
    <t>SU-008</t>
  </si>
  <si>
    <t>Strike + Suspension; credible severe threats: Termination</t>
  </si>
  <si>
    <t>Unauthorized Access to Restricted Operations</t>
  </si>
  <si>
    <t>CD-015</t>
  </si>
  <si>
    <t>PR-005</t>
  </si>
  <si>
    <t>Bullying or Intimidation</t>
  </si>
  <si>
    <t>Leaking Restricted Communications</t>
  </si>
  <si>
    <t>SU-009</t>
  </si>
  <si>
    <t>Suspension + Strike; severe or deliberate leaks: Termination</t>
  </si>
  <si>
    <t>PR-006</t>
  </si>
  <si>
    <t>Negligent Use of Specialized Equipment</t>
  </si>
  <si>
    <t>Retaliation Against a Reporting Member</t>
  </si>
  <si>
    <t>CD-016</t>
  </si>
  <si>
    <t>Failure to Monitor Required Communications</t>
  </si>
  <si>
    <t>Strike + Suspension; severe damage or risk: Removal from Unit</t>
  </si>
  <si>
    <t>PR-007</t>
  </si>
  <si>
    <t>SU-010</t>
  </si>
  <si>
    <t>Sharing Private Information Without Authorization</t>
  </si>
  <si>
    <t>Failure to Follow Tactical Command</t>
  </si>
  <si>
    <t>CD-017</t>
  </si>
  <si>
    <t>Strike + Suspension; doxxing or severe disclosure: Termination</t>
  </si>
  <si>
    <t>Abusing Mention or Notification Permissions</t>
  </si>
  <si>
    <t>PR-008</t>
  </si>
  <si>
    <t>RA-001</t>
  </si>
  <si>
    <t>Conduct Damaging Department Reputation</t>
  </si>
  <si>
    <t>Unauthorized Recruitment</t>
  </si>
  <si>
    <t>SU-011</t>
  </si>
  <si>
    <t>Unauthorized Disclosure of Operational Plans</t>
  </si>
  <si>
    <t>Written Warning; repeated cases: Strike + Removal from Recruitment Duties</t>
  </si>
  <si>
    <t>CD-018</t>
  </si>
  <si>
    <t>PR-009</t>
  </si>
  <si>
    <t>RA-002</t>
  </si>
  <si>
    <t>False Public Statements Made as an Official Representative</t>
  </si>
  <si>
    <t>Manipulating Digital Logs or Records</t>
  </si>
  <si>
    <t>Falsifying Recruitment Records</t>
  </si>
  <si>
    <t>SU-012</t>
  </si>
  <si>
    <t>Strike + Suspension; deliberate serious misinformation: Demotion</t>
  </si>
  <si>
    <t>Suspension + Strike; confirmed deliberate falsification: Termination</t>
  </si>
  <si>
    <t>Improper Handling of Specialized Unit Evidence</t>
  </si>
  <si>
    <t>PR-010</t>
  </si>
  <si>
    <t>RA-003</t>
  </si>
  <si>
    <t>Abuse of Department Identity or Branding</t>
  </si>
  <si>
    <t>Improper Applicant Screening</t>
  </si>
  <si>
    <t>Suspension + Strike; deliberate tampering: Termination</t>
  </si>
  <si>
    <t>SU-013</t>
  </si>
  <si>
    <t>RA-004</t>
  </si>
  <si>
    <t>PR-011</t>
  </si>
  <si>
    <t>Unauthorized Use of Unit Vehicles</t>
  </si>
  <si>
    <t>Favoritism During Recruitment</t>
  </si>
  <si>
    <t>Disruptive Conduct in Official Communities</t>
  </si>
  <si>
    <t>RA-005</t>
  </si>
  <si>
    <t>Unauthorized Personnel Changes</t>
  </si>
  <si>
    <t>PR-012</t>
  </si>
  <si>
    <t>SU-014</t>
  </si>
  <si>
    <t>Targeted Harassment Outside Department Platforms</t>
  </si>
  <si>
    <t>Conduct Unbecoming a Specialized Unit Member</t>
  </si>
  <si>
    <t>RA-005.1</t>
  </si>
  <si>
    <t>Unauthorized Changes - Name Change</t>
  </si>
  <si>
    <t>Strike + Suspension; severe cases: Removal from Unit or Termination</t>
  </si>
  <si>
    <t>PR-013</t>
  </si>
  <si>
    <t>SU-015</t>
  </si>
  <si>
    <t>Sharing Non-Public Personnel Information</t>
  </si>
  <si>
    <t>RA-006</t>
  </si>
  <si>
    <t>Failure to Report Specialized Unit Misconduct</t>
  </si>
  <si>
    <t>Failure to Maintain Personnel Records</t>
  </si>
  <si>
    <t>Strike + Suspension; severe disclosure: Termination</t>
  </si>
  <si>
    <t>PR-014</t>
  </si>
  <si>
    <t>RA-007</t>
  </si>
  <si>
    <t>Threatening a Complainant or Witness</t>
  </si>
  <si>
    <t>SI-001</t>
  </si>
  <si>
    <t>Sharing Confidential Applicant Information</t>
  </si>
  <si>
    <t>Corruption or Bribery</t>
  </si>
  <si>
    <t>RA-008</t>
  </si>
  <si>
    <t>PR-015</t>
  </si>
  <si>
    <t>Improper Handling of Applications</t>
  </si>
  <si>
    <t>SI-002</t>
  </si>
  <si>
    <t>Repeated Disrespect Toward Members</t>
  </si>
  <si>
    <t>Deliberate Evidence Tampering</t>
  </si>
  <si>
    <t>RA-009</t>
  </si>
  <si>
    <t>PR-016</t>
  </si>
  <si>
    <t>Unauthorized Promotion Processing</t>
  </si>
  <si>
    <t>SI-003</t>
  </si>
  <si>
    <t>Conduct Unbecoming a Department Member</t>
  </si>
  <si>
    <t>Knowingly Filing a False Official Report</t>
  </si>
  <si>
    <t>Strike + Reversal of Promotion; repeated cases: Demotion</t>
  </si>
  <si>
    <t>RA-010</t>
  </si>
  <si>
    <t>Strike + Suspension; deliberate or severe cases: Termination</t>
  </si>
  <si>
    <t>Unauthorized Termination or Removal</t>
  </si>
  <si>
    <t>SI-004</t>
  </si>
  <si>
    <t>Classification</t>
  </si>
  <si>
    <t>Purpose / Action</t>
  </si>
  <si>
    <t>Suspension + Demotion; deliberate abuse: Termination</t>
  </si>
  <si>
    <t>IA-P01</t>
  </si>
  <si>
    <t>RA-011</t>
  </si>
  <si>
    <t>Manipulating Personnel Files</t>
  </si>
  <si>
    <t>Case Assessment</t>
  </si>
  <si>
    <t>SI-005</t>
  </si>
  <si>
    <t>Determine whether the allegation falls within IA jurisdiction and warrants investigation</t>
  </si>
  <si>
    <t>Deliberate Leaking of Highly Confidential Information</t>
  </si>
  <si>
    <t>IA-P02</t>
  </si>
  <si>
    <t>RA-012</t>
  </si>
  <si>
    <t>Immediate Administrative Suspension pending investigation; substantiated cases: Termination + Blacklist</t>
  </si>
  <si>
    <t>Formal Investigation</t>
  </si>
  <si>
    <t>Failure to Follow Recruitment SOPs</t>
  </si>
  <si>
    <t>SI-006</t>
  </si>
  <si>
    <t>Open a formal investigation when sufficient grounds exist</t>
  </si>
  <si>
    <t>Coordinated Misconduct or Collusion</t>
  </si>
  <si>
    <t>IA-P03</t>
  </si>
  <si>
    <t>Preliminary Review</t>
  </si>
  <si>
    <t>RA-013</t>
  </si>
  <si>
    <t>Review available evidence before deciding whether to proceed</t>
  </si>
  <si>
    <t>Negligent Onboarding</t>
  </si>
  <si>
    <t>IA-P04</t>
  </si>
  <si>
    <t>SI-007</t>
  </si>
  <si>
    <t>Evidence Insufficient</t>
  </si>
  <si>
    <t>Obstruction of Justice or Department Investigations</t>
  </si>
  <si>
    <t>Written Warning; repeated cases: Strike + Removal from Onboarding Duties</t>
  </si>
  <si>
    <t>Close the case without disciplinary action when evidence does not support a finding</t>
  </si>
  <si>
    <t>RA-014</t>
  </si>
  <si>
    <t>IA-P05</t>
  </si>
  <si>
    <t>Unauthorized Disclosure of Personnel Decisions</t>
  </si>
  <si>
    <t>Substantiated Allegation</t>
  </si>
  <si>
    <t>SI-008</t>
  </si>
  <si>
    <t>Rule</t>
  </si>
  <si>
    <t>Apply the disciplinary action assigned to the substantiated offense</t>
  </si>
  <si>
    <t>Retaliation Against Whistleblowers</t>
  </si>
  <si>
    <t>RA-015</t>
  </si>
  <si>
    <t>Standard</t>
  </si>
  <si>
    <t>Abuse of Administrative Permissions</t>
  </si>
  <si>
    <t>DR-001</t>
  </si>
  <si>
    <t>SI-009</t>
  </si>
  <si>
    <t>IA-P06</t>
  </si>
  <si>
    <t>Deliberate Falsification of Official Records</t>
  </si>
  <si>
    <t>Progressive Discipline</t>
  </si>
  <si>
    <t>Partially Substantiated</t>
  </si>
  <si>
    <t>Apply discipline only to allegations supported by sufficient evidence</t>
  </si>
  <si>
    <t>Escalate discipline for repeated comparable offenses; severe violations may warrant immediate higher-level discipline</t>
  </si>
  <si>
    <t>IA-P07</t>
  </si>
  <si>
    <t>DR-002</t>
  </si>
  <si>
    <t>SI-010</t>
  </si>
  <si>
    <t>Unsubstantiated Allegation</t>
  </si>
  <si>
    <t>Aggravating Factors</t>
  </si>
  <si>
    <t>Serious Dishonesty During an IA Investigation</t>
  </si>
  <si>
    <t>Close the allegation without disciplinary action when evidence does not establish the violation</t>
  </si>
  <si>
    <t>Consider intent, harm, repetition, rank, and abuse of authority when determining discipline</t>
  </si>
  <si>
    <t>IA-P08</t>
  </si>
  <si>
    <t>DR-003</t>
  </si>
  <si>
    <t>Exoneration</t>
  </si>
  <si>
    <t>SI-011</t>
  </si>
  <si>
    <t>Close the allegation when the established facts show no policy violation occurred</t>
  </si>
  <si>
    <t>Mitigating Factors</t>
  </si>
  <si>
    <t>Abuse of Department Resources for Personal Gain</t>
  </si>
  <si>
    <t>IA-P09</t>
  </si>
  <si>
    <t>Consider cooperation, remorse, voluntary disclosure, and relevant circumstances when determining discipline</t>
  </si>
  <si>
    <t>Administrative Error</t>
  </si>
  <si>
    <t>DR-004</t>
  </si>
  <si>
    <t>Correct procedural or recordkeeping errors and assess whether further action is warranted</t>
  </si>
  <si>
    <t>Repeat Offenses</t>
  </si>
  <si>
    <t>IA-P10</t>
  </si>
  <si>
    <t>SI-012</t>
  </si>
  <si>
    <t>Escalate discipline for repeated substantiated offenses in accordance with the disciplinary matrix</t>
  </si>
  <si>
    <t>Command Review</t>
  </si>
  <si>
    <t>Knowingly Protecting or Concealing Serious Misconduct</t>
  </si>
  <si>
    <t>DR-005</t>
  </si>
  <si>
    <t>Refer findings and recommendations to authorized command staff for review</t>
  </si>
  <si>
    <t>Multiple Violations</t>
  </si>
  <si>
    <t>IA-P11</t>
  </si>
  <si>
    <t>Assess each substantiated offense and impose a proportionate combined disciplinary outcome</t>
  </si>
  <si>
    <t>SI-013</t>
  </si>
  <si>
    <t>Additional Investigation</t>
  </si>
  <si>
    <t>Unauthorized Disclosure of Critical Operational Information</t>
  </si>
  <si>
    <t>DR-006</t>
  </si>
  <si>
    <t>Keep the case open while outstanding investigative steps are completed</t>
  </si>
  <si>
    <t>Administrative Leave</t>
  </si>
  <si>
    <t>IA-P12</t>
  </si>
  <si>
    <t>Use temporary administrative leave only when authorized and necessary; it is not a final disciplinary finding</t>
  </si>
  <si>
    <t>SI-014</t>
  </si>
  <si>
    <t>DR-007</t>
  </si>
  <si>
    <t>Reassign the case to an impartial investigator or reviewer</t>
  </si>
  <si>
    <t>Repeated Serious Misconduct</t>
  </si>
  <si>
    <t>Appeal Rights</t>
  </si>
  <si>
    <t>IA-P13</t>
  </si>
  <si>
    <t>Allow eligible members to appeal disciplinary decisions in accordance with established IA procedures</t>
  </si>
  <si>
    <t>Place a member on temporary administrative leave when authorized and necessary pending review</t>
  </si>
  <si>
    <t>DR-008</t>
  </si>
  <si>
    <t>SI-015</t>
  </si>
  <si>
    <t>IA-P14</t>
  </si>
  <si>
    <t>Consistency of Discipline</t>
  </si>
  <si>
    <t>Conduct Fundamentally Incompatible with Continued Service</t>
  </si>
  <si>
    <t>Recommended Suspension</t>
  </si>
  <si>
    <t>Apply comparable discipline to substantially similar cases while accounting for relevant differences</t>
  </si>
  <si>
    <t>Submit a suspension recommendation for approval by the authorized decision-maker</t>
  </si>
  <si>
    <t>DR-009</t>
  </si>
  <si>
    <t>IA-P15</t>
  </si>
  <si>
    <t>Documentation Requirements</t>
  </si>
  <si>
    <t>Recommended Termination</t>
  </si>
  <si>
    <t>Document findings, evidence, rationale, approvals, and the final disciplinary outcome</t>
  </si>
  <si>
    <t>Refer a termination recommendation for final command review and approval</t>
  </si>
  <si>
    <t>DR-010</t>
  </si>
  <si>
    <t>IA-P16</t>
  </si>
  <si>
    <t>Confidentiality</t>
  </si>
  <si>
    <t>Restrict investigative and disciplinary information to personnel authorized to access it</t>
  </si>
  <si>
    <t>Appeal Filed</t>
  </si>
  <si>
    <t>DR-011</t>
  </si>
  <si>
    <t>Review the appeal under established procedures and determine whether the original decision should be reconsidered</t>
  </si>
  <si>
    <t>No Duplicate Punishment</t>
  </si>
  <si>
    <t>IA-P17</t>
  </si>
  <si>
    <t>Do not impose duplicate punishment for identical conduct unless separate violations are established</t>
  </si>
  <si>
    <t>Appeal Upheld</t>
  </si>
  <si>
    <t>Maintain the original disciplinary decision</t>
  </si>
  <si>
    <t>DR-012</t>
  </si>
  <si>
    <t>IA-P18</t>
  </si>
  <si>
    <t>Disciplinary Authority</t>
  </si>
  <si>
    <t>Appeal Partially Upheld</t>
  </si>
  <si>
    <t>Only personnel with designated authority may approve or impose disciplinary action</t>
  </si>
  <si>
    <t>Modify the original decision in accordance with the appeal findings</t>
  </si>
  <si>
    <t>DR-013</t>
  </si>
  <si>
    <t>IA-P19</t>
  </si>
  <si>
    <t>Independent Review</t>
  </si>
  <si>
    <t>Use an impartial reviewer where practicable and remove decision-makers with conflicts of interest</t>
  </si>
  <si>
    <t>Appeal Overturned</t>
  </si>
  <si>
    <t>DR-014</t>
  </si>
  <si>
    <t>Rescind the original disciplinary decision and restore rank or status where applicable</t>
  </si>
  <si>
    <t>Blacklisting Criteria</t>
  </si>
  <si>
    <t>IA-P20</t>
  </si>
  <si>
    <t>Apply blacklisting only for defined serious violations following authorized review and approval</t>
  </si>
  <si>
    <t>Case Closure</t>
  </si>
  <si>
    <t>DR-015</t>
  </si>
  <si>
    <t>Record the final findings, approved disciplinary action, and appeal status</t>
  </si>
  <si>
    <t>Final Review and Recordkeeping</t>
  </si>
  <si>
    <t>Record the final decision, approved punishment, appeal outcome, and subsequent amendments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</si>
</sst>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20">
    <dxf>
      <font/>
      <fill>
        <patternFill patternType="none"/>
      </fill>
      <border/>
    </dxf>
    <dxf>
      <font/>
      <fill>
        <patternFill patternType="solid">
          <fgColor rgb="FFDC2626"/>
          <bgColor rgb="FFDC2626"/>
        </patternFill>
      </fill>
      <border/>
    </dxf>
    <dxf>
      <font/>
      <fill>
        <patternFill patternType="solid">
          <fgColor rgb="FF2563EB"/>
          <bgColor rgb="FF2563EB"/>
        </patternFill>
      </fill>
      <border/>
    </dxf>
    <dxf>
      <font/>
      <fill>
        <patternFill patternType="solid">
          <fgColor rgb="FF64748B"/>
          <bgColor rgb="FF64748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EA580C"/>
          <bgColor rgb="FFEA580C"/>
        </patternFill>
      </fill>
      <border/>
    </dxf>
    <dxf>
      <border>
        <left style="thin">
          <color rgb="FF64748B"/>
        </left>
        <right style="thin">
          <color rgb="FF64748B"/>
        </right>
        <top style="thin">
          <color rgb="FF64748B"/>
        </top>
        <bottom style="thin">
          <color rgb="FF64748B"/>
        </bottom>
      </border>
    </dxf>
    <dxf>
      <font/>
      <fill>
        <patternFill patternType="solid">
          <fgColor rgb="FF0D9488"/>
          <bgColor rgb="FF0D9488"/>
        </patternFill>
      </fill>
      <border/>
    </dxf>
    <dxf>
      <font/>
      <fill>
        <patternFill patternType="solid">
          <fgColor rgb="FF7C3AED"/>
          <bgColor rgb="FF7C3AED"/>
        </patternFill>
      </fill>
      <border/>
    </dxf>
    <dxf>
      <font/>
      <fill>
        <patternFill patternType="solid">
          <fgColor rgb="FF1D4ED8"/>
          <bgColor rgb="FF1D4ED8"/>
        </patternFill>
      </fill>
      <border/>
    </dxf>
    <dxf>
      <font/>
      <fill>
        <patternFill patternType="solid">
          <fgColor rgb="FFB91C1C"/>
          <bgColor rgb="FFB91C1C"/>
        </patternFill>
      </fill>
      <border/>
    </dxf>
    <dxf>
      <font/>
      <fill>
        <patternFill patternType="solid">
          <fgColor rgb="FF0891B2"/>
          <bgColor rgb="FF0891B2"/>
        </patternFill>
      </fill>
      <border/>
    </dxf>
    <dxf>
      <font/>
      <fill>
        <patternFill patternType="solid">
          <fgColor rgb="FF65A30D"/>
          <bgColor rgb="FF65A30D"/>
        </patternFill>
      </fill>
      <border/>
    </dxf>
    <dxf>
      <font/>
      <fill>
        <patternFill patternType="solid">
          <fgColor rgb="FF9333EA"/>
          <bgColor rgb="FF9333EA"/>
        </patternFill>
      </fill>
      <border/>
    </dxf>
    <dxf>
      <font/>
      <fill>
        <patternFill patternType="solid">
          <fgColor rgb="FFDB2777"/>
          <bgColor rgb="FFDB2777"/>
        </patternFill>
      </fill>
      <border/>
    </dxf>
    <dxf>
      <font/>
      <fill>
        <patternFill patternType="solid">
          <fgColor rgb="FFA16207"/>
          <bgColor rgb="FFA16207"/>
        </patternFill>
      </fill>
      <border/>
    </dxf>
    <dxf>
      <font/>
      <fill>
        <patternFill patternType="solid">
          <fgColor rgb="FF7F1D1D"/>
          <bgColor rgb="FF7F1D1D"/>
        </patternFill>
      </fill>
      <border/>
    </dxf>
    <dxf>
      <font/>
      <fill>
        <patternFill patternType="solid">
          <fgColor rgb="FF475569"/>
          <bgColor rgb="FF475569"/>
        </patternFill>
      </fill>
      <border/>
    </dxf>
    <dxf>
      <font/>
      <fill>
        <patternFill patternType="solid">
          <fgColor rgb="FF334155"/>
          <bgColor rgb="FF334155"/>
        </patternFill>
      </fill>
      <border/>
    </dxf>
  </dxfs>
  <tableStyles count="16">
    <tableStyle count="4" pivot="0" name="Discord  General Offenses-style">
      <tableStyleElement dxfId="3" type="headerRow"/>
      <tableStyleElement dxfId="4" type="firstRowStripe"/>
      <tableStyleElement dxfId="5" type="secondRowStripe"/>
      <tableStyleElement dxfId="7" size="0" type="wholeTable"/>
    </tableStyle>
    <tableStyle count="4" pivot="0" name="In-Game Offenses — Criminal Con-style">
      <tableStyleElement dxfId="1" type="headerRow"/>
      <tableStyleElement dxfId="4" type="firstRowStripe"/>
      <tableStyleElement dxfId="5" type="secondRowStripe"/>
      <tableStyleElement dxfId="7" size="0" type="wholeTable"/>
    </tableStyle>
    <tableStyle count="4" pivot="0" name=" In-Game Offenses — Patrol &amp; Du-style">
      <tableStyleElement dxfId="2" type="headerRow"/>
      <tableStyleElement dxfId="4" type="firstRowStripe"/>
      <tableStyleElement dxfId="5" type="secondRowStripe"/>
      <tableStyleElement dxfId="7" size="0" type="wholeTable"/>
    </tableStyle>
    <tableStyle count="4" pivot="0" name="Use of Force &amp; Arrest Procedure-style">
      <tableStyleElement dxfId="6" type="headerRow"/>
      <tableStyleElement dxfId="4" type="firstRowStripe"/>
      <tableStyleElement dxfId="5" type="secondRowStripe"/>
      <tableStyleElement dxfId="7" size="0" type="wholeTable"/>
    </tableStyle>
    <tableStyle count="4" pivot="0" name="Equipment, Uniforms &amp; Departmen-style">
      <tableStyleElement dxfId="8" type="headerRow"/>
      <tableStyleElement dxfId="4" type="firstRowStripe"/>
      <tableStyleElement dxfId="5" type="secondRowStripe"/>
      <tableStyleElement dxfId="7" size="0" type="wholeTable"/>
    </tableStyle>
    <tableStyle count="4" pivot="0" name="Reports, Evidence &amp; Investigati-style">
      <tableStyleElement dxfId="9" type="headerRow"/>
      <tableStyleElement dxfId="4" type="firstRowStripe"/>
      <tableStyleElement dxfId="5" type="secondRowStripe"/>
      <tableStyleElement dxfId="7" size="0" type="wholeTable"/>
    </tableStyle>
    <tableStyle count="4" pivot="0" name="Command, Rank &amp; Supervisory Mis-style">
      <tableStyleElement dxfId="10" type="headerRow"/>
      <tableStyleElement dxfId="4" type="firstRowStripe"/>
      <tableStyleElement dxfId="5" type="secondRowStripe"/>
      <tableStyleElement dxfId="7" size="0" type="wholeTable"/>
    </tableStyle>
    <tableStyle count="4" pivot="0" name="Internal Affairs Compliance &amp; I-style">
      <tableStyleElement dxfId="11" type="headerRow"/>
      <tableStyleElement dxfId="4" type="firstRowStripe"/>
      <tableStyleElement dxfId="5" type="secondRowStripe"/>
      <tableStyleElement dxfId="7" size="0" type="wholeTable"/>
    </tableStyle>
    <tableStyle count="4" pivot="0" name="Communications, Radio &amp; Digital-style">
      <tableStyleElement dxfId="12" type="headerRow"/>
      <tableStyleElement dxfId="4" type="firstRowStripe"/>
      <tableStyleElement dxfId="5" type="secondRowStripe"/>
      <tableStyleElement dxfId="7" size="0" type="wholeTable"/>
    </tableStyle>
    <tableStyle count="4" pivot="0" name="Attendance, Activity &amp; Training-style">
      <tableStyleElement dxfId="13" type="headerRow"/>
      <tableStyleElement dxfId="4" type="firstRowStripe"/>
      <tableStyleElement dxfId="5" type="secondRowStripe"/>
      <tableStyleElement dxfId="7" size="0" type="wholeTable"/>
    </tableStyle>
    <tableStyle count="4" pivot="0" name="Specialized Units &amp; Restricted -style">
      <tableStyleElement dxfId="14" type="headerRow"/>
      <tableStyleElement dxfId="4" type="firstRowStripe"/>
      <tableStyleElement dxfId="5" type="secondRowStripe"/>
      <tableStyleElement dxfId="7" size="0" type="wholeTable"/>
    </tableStyle>
    <tableStyle count="4" pivot="0" name="Public Conduct, Harassment &amp; Re-style">
      <tableStyleElement dxfId="15" type="headerRow"/>
      <tableStyleElement dxfId="4" type="firstRowStripe"/>
      <tableStyleElement dxfId="5" type="secondRowStripe"/>
      <tableStyleElement dxfId="7" size="0" type="wholeTable"/>
    </tableStyle>
    <tableStyle count="4" pivot="0" name="Recruitment, Personnel &amp; Depart-style">
      <tableStyleElement dxfId="16" type="headerRow"/>
      <tableStyleElement dxfId="4" type="firstRowStripe"/>
      <tableStyleElement dxfId="5" type="secondRowStripe"/>
      <tableStyleElement dxfId="7" size="0" type="wholeTable"/>
    </tableStyle>
    <tableStyle count="4" pivot="0" name="Serious Integrity Violations-style">
      <tableStyleElement dxfId="17" type="headerRow"/>
      <tableStyleElement dxfId="4" type="firstRowStripe"/>
      <tableStyleElement dxfId="5" type="secondRowStripe"/>
      <tableStyleElement dxfId="7" size="0" type="wholeTable"/>
    </tableStyle>
    <tableStyle count="4" pivot="0" name="Disciplinary Procedure &amp; Case O-style">
      <tableStyleElement dxfId="18" type="headerRow"/>
      <tableStyleElement dxfId="4" type="firstRowStripe"/>
      <tableStyleElement dxfId="5" type="secondRowStripe"/>
      <tableStyleElement dxfId="7" size="0" type="wholeTable"/>
    </tableStyle>
    <tableStyle count="4" pivot="0" name="General Disciplinary Rules-style">
      <tableStyleElement dxfId="19" type="headerRow"/>
      <tableStyleElement dxfId="4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7" displayName="DG" name="DG" id="2">
  <tableColumns count="4">
    <tableColumn name="ID" id="1"/>
    <tableColumn name="Offense" id="2"/>
    <tableColumn name="Severity" id="3"/>
    <tableColumn name="Punishment" id="4"/>
  </tableColumns>
  <tableStyleInfo name="Discord  General Offenses-style" showColumnStripes="0" showFirstColumn="1" showLastColumn="1" showRowStripes="1"/>
</table>
</file>

<file path=xl/tables/table2.xml><?xml version="1.0" encoding="utf-8"?>
<table xmlns="http://schemas.openxmlformats.org/spreadsheetml/2006/main" ref="A1:D17" displayName="IG" name="IG" id="1">
  <tableColumns count="4">
    <tableColumn name="ID" id="1"/>
    <tableColumn name="Offense" id="2"/>
    <tableColumn name="Severity" id="3"/>
    <tableColumn name="Punishment" id="4"/>
  </tableColumns>
  <tableStyleInfo name="In-Game Offenses — Criminal Con-style" showColumnStripes="0" showFirstColumn="1" showLastColumn="1" showRowStripes="1"/>
</table>
</file>

<file path=xl/tables/table3.xml><?xml version="1.0" encoding="utf-8"?>
<table xmlns="http://schemas.openxmlformats.org/spreadsheetml/2006/main" ref="A1:D23" displayName="PD" name="PD" id="3">
  <tableColumns count="4">
    <tableColumn name="ID" id="1"/>
    <tableColumn name="Offense" id="2"/>
    <tableColumn name="Severity" id="3"/>
    <tableColumn name="Punishment" id="4"/>
  </tableColumns>
  <tableStyleInfo name=" In-Game Offenses — Patrol &amp; Du-style" showColumnStripes="0" showFirstColumn="1" showLastColumn="1" showRowStripes="1"/>
</table>
</file>

<file path=xl/tables/table4.xml><?xml version="1.0" encoding="utf-8"?>
<table xmlns="http://schemas.openxmlformats.org/spreadsheetml/2006/main" ref="A1:D23" displayName="UF" name="UF" id="4">
  <tableColumns count="4">
    <tableColumn name="ID" id="1"/>
    <tableColumn name="Offense" id="2"/>
    <tableColumn name="Severity" id="3"/>
    <tableColumn name="Punishment" id="4"/>
  </tableColumns>
  <tableStyleInfo name="Use of Force &amp; Arrest Procedure-style" showColumnStripes="0" showFirstColumn="1" showLastColumn="1" showRowStripes="1"/>
</table>
</file>

<file path=xl/tables/table5.xml><?xml version="1.0" encoding="utf-8"?>
<table xmlns="http://schemas.openxmlformats.org/spreadsheetml/2006/main" ref="A1:D19" displayName="EQ" name="EQ" id="5">
  <tableColumns count="4">
    <tableColumn name="ID" id="1"/>
    <tableColumn name="Offense" id="2"/>
    <tableColumn name="Severity" id="3"/>
    <tableColumn name="Punishment" id="4"/>
  </tableColumns>
  <tableStyleInfo name="Equipment, Uniforms &amp; Departmen-style" showColumnStripes="0" showFirstColumn="1" showLastColumn="1" showRowStripes="1"/>
</table>
</file>

<file path=xl/tables/table6.xml><?xml version="1.0" encoding="utf-8"?>
<table xmlns="http://schemas.openxmlformats.org/spreadsheetml/2006/main" ref="A1:D21" displayName="ER" name="ER" id="6">
  <tableColumns count="4">
    <tableColumn name="ID" id="1"/>
    <tableColumn name="Offense" id="2"/>
    <tableColumn name="Severity" id="3"/>
    <tableColumn name="Punishment" id="4"/>
  </tableColumns>
  <tableStyleInfo name="Reports, Evidence &amp; Investigati-style" showColumnStripes="0" showFirstColumn="1" showLastColumn="1" showRowStripes="1"/>
</table>
</file>

<file path=xl/tables/table7.xml><?xml version="1.0" encoding="utf-8"?>
<table xmlns="http://schemas.openxmlformats.org/spreadsheetml/2006/main" ref="A1:D21" displayName="CS" name="CS" id="7">
  <tableColumns count="4">
    <tableColumn name="ID" id="1"/>
    <tableColumn name="Offense" id="2"/>
    <tableColumn name="Severity" id="3"/>
    <tableColumn name="Punishment" id="4"/>
  </tableColumns>
  <tableStyleInfo name="Command, Rank &amp; Supervisory Mis-style" showColumnStripes="0" showFirstColumn="1" showLastColumn="1" showRowStripes="1"/>
</table>
</file>

<file path=xl/tables/table8.xml><?xml version="1.0" encoding="utf-8"?>
<table xmlns="http://schemas.openxmlformats.org/spreadsheetml/2006/main" ref="A1:D21" displayName="IA" name="IA" id="8">
  <tableColumns count="4">
    <tableColumn name="ID" id="1"/>
    <tableColumn name="Offense" id="2"/>
    <tableColumn name="Severity" id="3"/>
    <tableColumn name="Punishment" id="4"/>
  </tableColumns>
  <tableStyleInfo name="Internal Affairs Compliance &amp; I-style" showColumnStripes="0" showFirstColumn="1" showLastColumn="1" showRowStripes="1"/>
</table>
</file>

<file path=xl/tables/table9.xml><?xml version="1.0" encoding="utf-8"?>
<table xmlns="http://schemas.openxmlformats.org/spreadsheetml/2006/main" ref="A1:D19" displayName="CD" name="CD" id="9">
  <tableColumns count="4">
    <tableColumn name="ID" id="1"/>
    <tableColumn name="Offense" id="2"/>
    <tableColumn name="Severity" id="3"/>
    <tableColumn name="Punishment" id="4"/>
  </tableColumns>
  <tableStyleInfo name="Communications, Radio &amp; Digital-style" showColumnStripes="0" showFirstColumn="1" showLastColumn="1" showRowStripes="1"/>
</table>
</file>

<file path=xl/tables/table10.xml><?xml version="1.0" encoding="utf-8"?>
<table xmlns="http://schemas.openxmlformats.org/spreadsheetml/2006/main" ref="A1:D17" displayName="AT" name="AT" id="10">
  <tableColumns count="4">
    <tableColumn name="ID" id="1"/>
    <tableColumn name="Offense" id="2"/>
    <tableColumn name="Severity" id="3"/>
    <tableColumn name="Punishment" id="4"/>
  </tableColumns>
  <tableStyleInfo name="Attendance, Activity &amp; Training-style" showColumnStripes="0" showFirstColumn="1" showLastColumn="1" showRowStripes="1"/>
</table>
</file>

<file path=xl/tables/table11.xml><?xml version="1.0" encoding="utf-8"?>
<table xmlns="http://schemas.openxmlformats.org/spreadsheetml/2006/main" ref="A1:D16" displayName="SU" name="SU" id="11">
  <tableColumns count="4">
    <tableColumn name="ID" id="1"/>
    <tableColumn name="Offense" id="2"/>
    <tableColumn name="Severity" id="3"/>
    <tableColumn name="Punishment" id="4"/>
  </tableColumns>
  <tableStyleInfo name="Specialized Units &amp; Restricted -style" showColumnStripes="0" showFirstColumn="1" showLastColumn="1" showRowStripes="1"/>
</table>
</file>

<file path=xl/tables/table12.xml><?xml version="1.0" encoding="utf-8"?>
<table xmlns="http://schemas.openxmlformats.org/spreadsheetml/2006/main" ref="A1:D17" displayName="PR" name="PR" id="12">
  <tableColumns count="4">
    <tableColumn name="ID" id="1"/>
    <tableColumn name="Offense" id="2"/>
    <tableColumn name="Severity" id="3"/>
    <tableColumn name="Punishment" id="4"/>
  </tableColumns>
  <tableStyleInfo name="Public Conduct, Harassment &amp; Re-style" showColumnStripes="0" showFirstColumn="1" showLastColumn="1" showRowStripes="1"/>
</table>
</file>

<file path=xl/tables/table13.xml><?xml version="1.0" encoding="utf-8"?>
<table xmlns="http://schemas.openxmlformats.org/spreadsheetml/2006/main" ref="A1:D17" displayName="RA" name="RA" id="13">
  <tableColumns count="4">
    <tableColumn name="ID" id="1"/>
    <tableColumn name="Offense" id="2"/>
    <tableColumn name="Severity" id="3"/>
    <tableColumn name="Punishment" id="4"/>
  </tableColumns>
  <tableStyleInfo name="Recruitment, Personnel &amp; Depart-style" showColumnStripes="0" showFirstColumn="1" showLastColumn="1" showRowStripes="1"/>
</table>
</file>

<file path=xl/tables/table14.xml><?xml version="1.0" encoding="utf-8"?>
<table xmlns="http://schemas.openxmlformats.org/spreadsheetml/2006/main" ref="A1:D16" displayName="SI" name="SI" id="14">
  <tableColumns count="4">
    <tableColumn name="ID" id="1"/>
    <tableColumn name="Offense" id="2"/>
    <tableColumn name="Severity" id="3"/>
    <tableColumn name="Punishment" id="4"/>
  </tableColumns>
  <tableStyleInfo name="Serious Integrity Violations-style" showColumnStripes="0" showFirstColumn="1" showLastColumn="1" showRowStripes="1"/>
</table>
</file>

<file path=xl/tables/table15.xml><?xml version="1.0" encoding="utf-8"?>
<table xmlns="http://schemas.openxmlformats.org/spreadsheetml/2006/main" ref="A1:C21" displayName="IA_P" name="IA_P" id="15">
  <tableColumns count="3">
    <tableColumn name="ID" id="1"/>
    <tableColumn name="Classification" id="2"/>
    <tableColumn name="Purpose / Action" id="3"/>
  </tableColumns>
  <tableStyleInfo name="Disciplinary Procedure &amp; Case O-style" showColumnStripes="0" showFirstColumn="1" showLastColumn="1" showRowStripes="1"/>
</table>
</file>

<file path=xl/tables/table16.xml><?xml version="1.0" encoding="utf-8"?>
<table xmlns="http://schemas.openxmlformats.org/spreadsheetml/2006/main" ref="A1:C16" displayName="DR" name="DR" id="16">
  <tableColumns count="3">
    <tableColumn name="ID" id="1"/>
    <tableColumn name="Rule" id="2"/>
    <tableColumn name="Standard" id="3"/>
  </tableColumns>
  <tableStyleInfo name="General Disciplinary Ru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748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53.5"/>
    <col customWidth="1" min="3" max="3" width="31.38"/>
    <col customWidth="1" min="4" max="4" width="1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3" t="str">
        <f t="shared" ref="A2:A36" si="1">"DG-"&amp;TEXT(ROW(A1),"000")</f>
        <v>DG-001</v>
      </c>
      <c r="B2" s="3" t="s">
        <v>5</v>
      </c>
      <c r="C2" s="3" t="s">
        <v>6</v>
      </c>
      <c r="D2" s="3" t="s">
        <v>8</v>
      </c>
    </row>
    <row r="3" ht="22.5" customHeight="1">
      <c r="A3" s="3" t="str">
        <f t="shared" si="1"/>
        <v>DG-002</v>
      </c>
      <c r="B3" s="3" t="s">
        <v>11</v>
      </c>
      <c r="C3" s="3" t="s">
        <v>6</v>
      </c>
      <c r="D3" s="3" t="s">
        <v>8</v>
      </c>
    </row>
    <row r="4" ht="22.5" customHeight="1">
      <c r="A4" s="3" t="str">
        <f t="shared" si="1"/>
        <v>DG-003</v>
      </c>
      <c r="B4" s="3" t="s">
        <v>19</v>
      </c>
      <c r="C4" s="3" t="s">
        <v>7</v>
      </c>
      <c r="D4" s="3" t="s">
        <v>21</v>
      </c>
    </row>
    <row r="5" ht="22.5" customHeight="1">
      <c r="A5" s="3" t="str">
        <f t="shared" si="1"/>
        <v>DG-004</v>
      </c>
      <c r="B5" s="3" t="s">
        <v>24</v>
      </c>
      <c r="C5" s="3" t="s">
        <v>7</v>
      </c>
      <c r="D5" s="3" t="s">
        <v>27</v>
      </c>
    </row>
    <row r="6" ht="22.5" customHeight="1">
      <c r="A6" s="3" t="str">
        <f t="shared" si="1"/>
        <v>DG-005</v>
      </c>
      <c r="B6" s="3" t="s">
        <v>30</v>
      </c>
      <c r="C6" s="3" t="s">
        <v>32</v>
      </c>
      <c r="D6" s="3" t="s">
        <v>34</v>
      </c>
    </row>
    <row r="7" ht="22.5" customHeight="1">
      <c r="A7" s="3" t="str">
        <f t="shared" si="1"/>
        <v>DG-006</v>
      </c>
      <c r="B7" s="3" t="s">
        <v>38</v>
      </c>
      <c r="C7" s="3" t="s">
        <v>13</v>
      </c>
      <c r="D7" s="3" t="s">
        <v>40</v>
      </c>
    </row>
    <row r="8" ht="22.5" customHeight="1">
      <c r="A8" s="3" t="str">
        <f t="shared" si="1"/>
        <v>DG-007</v>
      </c>
      <c r="B8" s="3" t="s">
        <v>45</v>
      </c>
      <c r="C8" s="3" t="s">
        <v>48</v>
      </c>
      <c r="D8" s="3" t="s">
        <v>50</v>
      </c>
    </row>
    <row r="9" ht="22.5" customHeight="1">
      <c r="A9" s="3" t="str">
        <f t="shared" si="1"/>
        <v>DG-008</v>
      </c>
      <c r="B9" s="3" t="s">
        <v>54</v>
      </c>
      <c r="C9" s="3" t="s">
        <v>26</v>
      </c>
      <c r="D9" s="3" t="s">
        <v>56</v>
      </c>
    </row>
    <row r="10" ht="22.5" customHeight="1">
      <c r="A10" s="3" t="str">
        <f t="shared" si="1"/>
        <v>DG-009</v>
      </c>
      <c r="B10" s="3" t="s">
        <v>60</v>
      </c>
      <c r="C10" s="3" t="s">
        <v>48</v>
      </c>
      <c r="D10" s="3" t="s">
        <v>64</v>
      </c>
    </row>
    <row r="11" ht="22.5" customHeight="1">
      <c r="A11" s="3" t="str">
        <f t="shared" si="1"/>
        <v>DG-010</v>
      </c>
      <c r="B11" s="3" t="s">
        <v>67</v>
      </c>
      <c r="C11" s="3" t="s">
        <v>6</v>
      </c>
      <c r="D11" s="3" t="s">
        <v>17</v>
      </c>
    </row>
    <row r="12" ht="22.5" customHeight="1">
      <c r="A12" s="3" t="str">
        <f t="shared" si="1"/>
        <v>DG-011</v>
      </c>
      <c r="B12" s="3" t="s">
        <v>73</v>
      </c>
      <c r="C12" s="3" t="s">
        <v>13</v>
      </c>
      <c r="D12" s="3" t="s">
        <v>40</v>
      </c>
    </row>
    <row r="13" ht="22.5" customHeight="1">
      <c r="A13" s="3" t="str">
        <f t="shared" si="1"/>
        <v>DG-012</v>
      </c>
      <c r="B13" s="3" t="s">
        <v>78</v>
      </c>
      <c r="C13" s="3" t="s">
        <v>20</v>
      </c>
      <c r="D13" s="3" t="s">
        <v>81</v>
      </c>
    </row>
    <row r="14" ht="22.5" customHeight="1">
      <c r="A14" s="3" t="str">
        <f t="shared" si="1"/>
        <v>DG-013</v>
      </c>
      <c r="B14" s="3" t="s">
        <v>83</v>
      </c>
      <c r="C14" s="3" t="s">
        <v>26</v>
      </c>
      <c r="D14" s="3" t="s">
        <v>85</v>
      </c>
    </row>
    <row r="15" ht="22.5" customHeight="1">
      <c r="A15" s="3" t="str">
        <f t="shared" si="1"/>
        <v>DG-014</v>
      </c>
      <c r="B15" s="3" t="s">
        <v>88</v>
      </c>
      <c r="C15" s="3" t="s">
        <v>26</v>
      </c>
      <c r="D15" s="3" t="s">
        <v>91</v>
      </c>
    </row>
    <row r="16" ht="22.5" customHeight="1">
      <c r="A16" s="3" t="str">
        <f t="shared" si="1"/>
        <v>DG-015</v>
      </c>
      <c r="B16" s="3" t="s">
        <v>94</v>
      </c>
      <c r="C16" s="3" t="s">
        <v>7</v>
      </c>
      <c r="D16" s="3" t="s">
        <v>21</v>
      </c>
    </row>
    <row r="17" ht="22.5" customHeight="1">
      <c r="A17" s="3" t="str">
        <f t="shared" si="1"/>
        <v>DG-016</v>
      </c>
      <c r="B17" s="3" t="s">
        <v>99</v>
      </c>
      <c r="C17" s="3" t="s">
        <v>7</v>
      </c>
      <c r="D17" s="3" t="s">
        <v>21</v>
      </c>
    </row>
    <row r="18" ht="22.5" customHeight="1">
      <c r="A18" s="3" t="str">
        <f t="shared" si="1"/>
        <v>DG-017</v>
      </c>
      <c r="B18" s="3" t="s">
        <v>104</v>
      </c>
      <c r="C18" s="3" t="s">
        <v>7</v>
      </c>
      <c r="D18" s="3" t="s">
        <v>21</v>
      </c>
    </row>
    <row r="19" ht="22.5" customHeight="1">
      <c r="A19" s="3" t="str">
        <f t="shared" si="1"/>
        <v>DG-018</v>
      </c>
      <c r="B19" s="3" t="s">
        <v>110</v>
      </c>
      <c r="C19" s="3" t="s">
        <v>35</v>
      </c>
      <c r="D19" s="3" t="s">
        <v>112</v>
      </c>
    </row>
    <row r="20" ht="22.5" customHeight="1">
      <c r="A20" s="3" t="str">
        <f t="shared" si="1"/>
        <v>DG-019</v>
      </c>
      <c r="B20" s="3" t="s">
        <v>114</v>
      </c>
      <c r="C20" s="3" t="s">
        <v>32</v>
      </c>
      <c r="D20" s="3" t="s">
        <v>118</v>
      </c>
    </row>
    <row r="21" ht="22.5" customHeight="1">
      <c r="A21" s="3" t="str">
        <f t="shared" si="1"/>
        <v>DG-020</v>
      </c>
      <c r="B21" s="3" t="s">
        <v>122</v>
      </c>
      <c r="C21" s="3" t="s">
        <v>32</v>
      </c>
      <c r="D21" s="3" t="s">
        <v>123</v>
      </c>
    </row>
    <row r="22" ht="22.5" customHeight="1">
      <c r="A22" s="3" t="str">
        <f t="shared" si="1"/>
        <v>DG-021</v>
      </c>
      <c r="B22" s="3" t="s">
        <v>127</v>
      </c>
      <c r="C22" s="3" t="s">
        <v>7</v>
      </c>
      <c r="D22" s="3" t="s">
        <v>21</v>
      </c>
    </row>
    <row r="23" ht="22.5" customHeight="1">
      <c r="A23" s="3" t="str">
        <f t="shared" si="1"/>
        <v>DG-022</v>
      </c>
      <c r="B23" s="3" t="s">
        <v>131</v>
      </c>
      <c r="C23" s="3" t="s">
        <v>7</v>
      </c>
      <c r="D23" s="3" t="s">
        <v>21</v>
      </c>
    </row>
    <row r="24" ht="22.5" customHeight="1">
      <c r="A24" s="3" t="str">
        <f t="shared" si="1"/>
        <v>DG-023</v>
      </c>
      <c r="B24" s="3" t="s">
        <v>134</v>
      </c>
      <c r="C24" s="3" t="s">
        <v>35</v>
      </c>
      <c r="D24" s="3" t="s">
        <v>137</v>
      </c>
    </row>
    <row r="25" ht="22.5" customHeight="1">
      <c r="A25" s="3" t="str">
        <f t="shared" si="1"/>
        <v>DG-024</v>
      </c>
      <c r="B25" s="3" t="s">
        <v>140</v>
      </c>
      <c r="C25" s="3" t="s">
        <v>35</v>
      </c>
      <c r="D25" s="3" t="s">
        <v>141</v>
      </c>
    </row>
    <row r="26" ht="22.5" customHeight="1">
      <c r="A26" s="3" t="str">
        <f t="shared" si="1"/>
        <v>DG-025</v>
      </c>
      <c r="B26" s="3" t="s">
        <v>143</v>
      </c>
      <c r="C26" s="3" t="s">
        <v>32</v>
      </c>
      <c r="D26" s="3" t="s">
        <v>144</v>
      </c>
    </row>
    <row r="27" ht="22.5" customHeight="1">
      <c r="A27" s="3" t="str">
        <f t="shared" si="1"/>
        <v>DG-026</v>
      </c>
      <c r="B27" s="3" t="s">
        <v>145</v>
      </c>
      <c r="C27" s="3" t="s">
        <v>32</v>
      </c>
      <c r="D27" s="3" t="s">
        <v>146</v>
      </c>
    </row>
    <row r="28" ht="22.5" customHeight="1">
      <c r="A28" s="3" t="str">
        <f t="shared" si="1"/>
        <v>DG-027</v>
      </c>
      <c r="B28" s="3" t="s">
        <v>148</v>
      </c>
      <c r="C28" s="3" t="s">
        <v>35</v>
      </c>
      <c r="D28" s="3" t="s">
        <v>151</v>
      </c>
    </row>
    <row r="29" ht="22.5" customHeight="1">
      <c r="A29" s="3" t="str">
        <f t="shared" si="1"/>
        <v>DG-028</v>
      </c>
      <c r="B29" s="3" t="s">
        <v>152</v>
      </c>
      <c r="C29" s="3" t="s">
        <v>35</v>
      </c>
      <c r="D29" s="3" t="s">
        <v>153</v>
      </c>
    </row>
    <row r="30" ht="22.5" customHeight="1">
      <c r="A30" s="3" t="str">
        <f t="shared" si="1"/>
        <v>DG-029</v>
      </c>
      <c r="B30" s="3" t="s">
        <v>155</v>
      </c>
      <c r="C30" s="3" t="s">
        <v>7</v>
      </c>
      <c r="D30" s="3" t="s">
        <v>21</v>
      </c>
    </row>
    <row r="31" ht="22.5" customHeight="1">
      <c r="A31" s="3" t="str">
        <f t="shared" si="1"/>
        <v>DG-030</v>
      </c>
      <c r="B31" s="3" t="s">
        <v>157</v>
      </c>
      <c r="C31" s="3" t="s">
        <v>32</v>
      </c>
      <c r="D31" s="3" t="s">
        <v>159</v>
      </c>
    </row>
    <row r="32" ht="22.5" customHeight="1">
      <c r="A32" s="3" t="str">
        <f t="shared" si="1"/>
        <v>DG-031</v>
      </c>
      <c r="B32" s="3" t="s">
        <v>161</v>
      </c>
      <c r="C32" s="3" t="s">
        <v>32</v>
      </c>
      <c r="D32" s="3" t="s">
        <v>164</v>
      </c>
    </row>
    <row r="33" ht="22.5" customHeight="1">
      <c r="A33" s="3" t="str">
        <f t="shared" si="1"/>
        <v>DG-032</v>
      </c>
      <c r="B33" s="3" t="s">
        <v>166</v>
      </c>
      <c r="C33" s="3" t="s">
        <v>20</v>
      </c>
      <c r="D33" s="3" t="s">
        <v>168</v>
      </c>
    </row>
    <row r="34" ht="22.5" customHeight="1">
      <c r="A34" s="3" t="str">
        <f t="shared" si="1"/>
        <v>DG-033</v>
      </c>
      <c r="B34" s="3" t="s">
        <v>171</v>
      </c>
      <c r="C34" s="3" t="s">
        <v>35</v>
      </c>
      <c r="D34" s="3" t="s">
        <v>175</v>
      </c>
    </row>
    <row r="35" ht="22.5" customHeight="1">
      <c r="A35" s="3" t="str">
        <f t="shared" si="1"/>
        <v>DG-034</v>
      </c>
      <c r="B35" s="3" t="s">
        <v>179</v>
      </c>
      <c r="C35" s="3" t="s">
        <v>43</v>
      </c>
      <c r="D35" s="3" t="s">
        <v>183</v>
      </c>
    </row>
    <row r="36" ht="22.5" customHeight="1">
      <c r="A36" s="3" t="str">
        <f t="shared" si="1"/>
        <v>DG-035</v>
      </c>
      <c r="B36" s="3" t="s">
        <v>185</v>
      </c>
      <c r="C36" s="3" t="s">
        <v>48</v>
      </c>
      <c r="D36" s="3" t="s">
        <v>189</v>
      </c>
    </row>
    <row r="37" ht="22.5" customHeight="1">
      <c r="A37" s="3" t="s">
        <v>191</v>
      </c>
      <c r="B37" s="3" t="s">
        <v>193</v>
      </c>
      <c r="C37" s="3" t="s">
        <v>196</v>
      </c>
      <c r="D37" s="3" t="s">
        <v>197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C262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57.13"/>
    <col customWidth="1" min="3" max="3" width="38.13"/>
    <col customWidth="1" min="4" max="4" width="8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tr">
        <f t="shared" ref="A2:A17" si="1">"IG-"&amp;TEXT(ROW(A1),"000")</f>
        <v>IG-001</v>
      </c>
      <c r="B2" s="3" t="s">
        <v>4</v>
      </c>
      <c r="C2" s="3" t="s">
        <v>7</v>
      </c>
      <c r="D2" s="3" t="s">
        <v>9</v>
      </c>
    </row>
    <row r="3" ht="22.5" customHeight="1">
      <c r="A3" s="2" t="str">
        <f t="shared" si="1"/>
        <v>IG-002</v>
      </c>
      <c r="B3" s="3" t="s">
        <v>12</v>
      </c>
      <c r="C3" s="3" t="s">
        <v>6</v>
      </c>
      <c r="D3" s="3" t="s">
        <v>16</v>
      </c>
    </row>
    <row r="4" ht="22.5" customHeight="1">
      <c r="A4" s="2" t="str">
        <f t="shared" si="1"/>
        <v>IG-003</v>
      </c>
      <c r="B4" s="3" t="s">
        <v>18</v>
      </c>
      <c r="C4" s="3" t="s">
        <v>20</v>
      </c>
      <c r="D4" s="3" t="s">
        <v>22</v>
      </c>
    </row>
    <row r="5" ht="22.5" customHeight="1">
      <c r="A5" s="2" t="str">
        <f t="shared" si="1"/>
        <v>IG-004</v>
      </c>
      <c r="B5" s="3" t="s">
        <v>25</v>
      </c>
      <c r="C5" s="3" t="s">
        <v>26</v>
      </c>
      <c r="D5" s="3" t="s">
        <v>29</v>
      </c>
    </row>
    <row r="6" ht="22.5" customHeight="1">
      <c r="A6" s="2" t="str">
        <f t="shared" si="1"/>
        <v>IG-005</v>
      </c>
      <c r="B6" s="3" t="s">
        <v>33</v>
      </c>
      <c r="C6" s="3" t="s">
        <v>35</v>
      </c>
      <c r="D6" s="3" t="s">
        <v>37</v>
      </c>
    </row>
    <row r="7" ht="22.5" customHeight="1">
      <c r="A7" s="2" t="str">
        <f t="shared" si="1"/>
        <v>IG-006</v>
      </c>
      <c r="B7" s="3" t="s">
        <v>42</v>
      </c>
      <c r="C7" s="3" t="s">
        <v>26</v>
      </c>
      <c r="D7" s="3" t="s">
        <v>46</v>
      </c>
    </row>
    <row r="8" ht="22.5" customHeight="1">
      <c r="A8" s="2" t="str">
        <f t="shared" si="1"/>
        <v>IG-007</v>
      </c>
      <c r="B8" s="3" t="s">
        <v>52</v>
      </c>
      <c r="C8" s="3" t="s">
        <v>32</v>
      </c>
      <c r="D8" s="3" t="s">
        <v>51</v>
      </c>
    </row>
    <row r="9" ht="22.5" customHeight="1">
      <c r="A9" s="2" t="str">
        <f t="shared" si="1"/>
        <v>IG-008</v>
      </c>
      <c r="B9" s="3" t="s">
        <v>59</v>
      </c>
      <c r="C9" s="3" t="s">
        <v>32</v>
      </c>
      <c r="D9" s="3" t="s">
        <v>63</v>
      </c>
    </row>
    <row r="10" ht="22.5" customHeight="1">
      <c r="A10" s="2" t="str">
        <f t="shared" si="1"/>
        <v>IG-009</v>
      </c>
      <c r="B10" s="3" t="s">
        <v>69</v>
      </c>
      <c r="C10" s="3" t="s">
        <v>48</v>
      </c>
      <c r="D10" s="3" t="s">
        <v>71</v>
      </c>
    </row>
    <row r="11" ht="22.5" customHeight="1">
      <c r="A11" s="2" t="str">
        <f t="shared" si="1"/>
        <v>IG-010</v>
      </c>
      <c r="B11" s="3" t="s">
        <v>76</v>
      </c>
      <c r="C11" s="3" t="s">
        <v>26</v>
      </c>
      <c r="D11" s="3" t="s">
        <v>29</v>
      </c>
    </row>
    <row r="12" ht="22.5" customHeight="1">
      <c r="A12" s="2" t="str">
        <f t="shared" si="1"/>
        <v>IG-011</v>
      </c>
      <c r="B12" s="3" t="s">
        <v>82</v>
      </c>
      <c r="C12" s="3" t="s">
        <v>32</v>
      </c>
      <c r="D12" s="3" t="s">
        <v>46</v>
      </c>
    </row>
    <row r="13" ht="22.5" customHeight="1">
      <c r="A13" s="2" t="str">
        <f t="shared" si="1"/>
        <v>IG-012</v>
      </c>
      <c r="B13" s="3" t="s">
        <v>89</v>
      </c>
      <c r="C13" s="3" t="s">
        <v>32</v>
      </c>
      <c r="D13" s="3" t="s">
        <v>46</v>
      </c>
    </row>
    <row r="14" ht="22.5" customHeight="1">
      <c r="A14" s="2" t="str">
        <f t="shared" si="1"/>
        <v>IG-013</v>
      </c>
      <c r="B14" s="3" t="s">
        <v>97</v>
      </c>
      <c r="C14" s="3" t="s">
        <v>26</v>
      </c>
      <c r="D14" s="3" t="s">
        <v>29</v>
      </c>
    </row>
    <row r="15" ht="22.5" customHeight="1">
      <c r="A15" s="2" t="str">
        <f t="shared" si="1"/>
        <v>IG-014</v>
      </c>
      <c r="B15" s="3" t="s">
        <v>101</v>
      </c>
      <c r="C15" s="3" t="s">
        <v>32</v>
      </c>
      <c r="D15" s="3" t="s">
        <v>105</v>
      </c>
    </row>
    <row r="16" ht="22.5" customHeight="1">
      <c r="A16" s="2" t="str">
        <f t="shared" si="1"/>
        <v>IG-015</v>
      </c>
      <c r="B16" s="3" t="s">
        <v>108</v>
      </c>
      <c r="C16" s="3" t="s">
        <v>20</v>
      </c>
      <c r="D16" s="3" t="s">
        <v>50</v>
      </c>
    </row>
    <row r="17" ht="22.5" customHeight="1">
      <c r="A17" s="2" t="str">
        <f t="shared" si="1"/>
        <v>IG-016</v>
      </c>
      <c r="B17" s="3" t="s">
        <v>116</v>
      </c>
      <c r="C17" s="3" t="s">
        <v>32</v>
      </c>
      <c r="D17" s="3" t="s">
        <v>46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53.5"/>
    <col customWidth="1" min="3" max="3" width="29.13"/>
    <col customWidth="1" min="4" max="4" width="8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tr">
        <f>"PD-"&amp;TEXT(ROW(PD[[#HEADERS],[ID]]),"000")</f>
        <v>PD-001</v>
      </c>
      <c r="B2" s="3" t="s">
        <v>10</v>
      </c>
      <c r="C2" s="3" t="s">
        <v>13</v>
      </c>
      <c r="D2" s="3" t="s">
        <v>15</v>
      </c>
    </row>
    <row r="3" ht="22.5" customHeight="1">
      <c r="A3" s="2" t="str">
        <f t="shared" ref="A3:A23" si="1">"PD-"&amp;TEXT(ROW(A2),"000")</f>
        <v>PD-002</v>
      </c>
      <c r="B3" s="3" t="s">
        <v>23</v>
      </c>
      <c r="C3" s="3" t="s">
        <v>7</v>
      </c>
      <c r="D3" s="3" t="s">
        <v>17</v>
      </c>
    </row>
    <row r="4" ht="22.5" customHeight="1">
      <c r="A4" s="2" t="str">
        <f t="shared" si="1"/>
        <v>PD-003</v>
      </c>
      <c r="B4" s="3" t="s">
        <v>31</v>
      </c>
      <c r="C4" s="3" t="s">
        <v>20</v>
      </c>
      <c r="D4" s="3" t="s">
        <v>36</v>
      </c>
    </row>
    <row r="5" ht="22.5" customHeight="1">
      <c r="A5" s="2" t="str">
        <f t="shared" si="1"/>
        <v>PD-004</v>
      </c>
      <c r="B5" s="3" t="s">
        <v>41</v>
      </c>
      <c r="C5" s="3" t="s">
        <v>43</v>
      </c>
      <c r="D5" s="3" t="s">
        <v>44</v>
      </c>
    </row>
    <row r="6" ht="22.5" customHeight="1">
      <c r="A6" s="2" t="str">
        <f t="shared" si="1"/>
        <v>PD-005</v>
      </c>
      <c r="B6" s="3" t="s">
        <v>49</v>
      </c>
      <c r="C6" s="3" t="s">
        <v>48</v>
      </c>
      <c r="D6" s="3" t="s">
        <v>53</v>
      </c>
    </row>
    <row r="7" ht="22.5" customHeight="1">
      <c r="A7" s="2" t="str">
        <f t="shared" si="1"/>
        <v>PD-006</v>
      </c>
      <c r="B7" s="3" t="s">
        <v>57</v>
      </c>
      <c r="C7" s="3" t="s">
        <v>32</v>
      </c>
      <c r="D7" s="3" t="s">
        <v>61</v>
      </c>
    </row>
    <row r="8" ht="22.5" customHeight="1">
      <c r="A8" s="2" t="str">
        <f t="shared" si="1"/>
        <v>PD-007</v>
      </c>
      <c r="B8" s="3" t="s">
        <v>66</v>
      </c>
      <c r="C8" s="3" t="s">
        <v>7</v>
      </c>
      <c r="D8" s="3" t="s">
        <v>21</v>
      </c>
    </row>
    <row r="9" ht="22.5" customHeight="1">
      <c r="A9" s="2" t="str">
        <f t="shared" si="1"/>
        <v>PD-008</v>
      </c>
      <c r="B9" s="3" t="s">
        <v>74</v>
      </c>
      <c r="C9" s="3" t="s">
        <v>48</v>
      </c>
      <c r="D9" s="3" t="s">
        <v>71</v>
      </c>
    </row>
    <row r="10" ht="22.5" customHeight="1">
      <c r="A10" s="2" t="str">
        <f t="shared" si="1"/>
        <v>PD-009</v>
      </c>
      <c r="B10" s="3" t="s">
        <v>79</v>
      </c>
      <c r="C10" s="3" t="s">
        <v>7</v>
      </c>
      <c r="D10" s="3" t="s">
        <v>21</v>
      </c>
    </row>
    <row r="11" ht="22.5" customHeight="1">
      <c r="A11" s="2" t="str">
        <f t="shared" si="1"/>
        <v>PD-010</v>
      </c>
      <c r="B11" s="3" t="s">
        <v>86</v>
      </c>
      <c r="C11" s="3" t="s">
        <v>7</v>
      </c>
      <c r="D11" s="3" t="s">
        <v>53</v>
      </c>
    </row>
    <row r="12" ht="22.5" customHeight="1">
      <c r="A12" s="2" t="str">
        <f t="shared" si="1"/>
        <v>PD-011</v>
      </c>
      <c r="B12" s="3" t="s">
        <v>93</v>
      </c>
      <c r="C12" s="3" t="s">
        <v>32</v>
      </c>
      <c r="D12" s="3" t="s">
        <v>96</v>
      </c>
    </row>
    <row r="13" ht="22.5" customHeight="1">
      <c r="A13" s="2" t="str">
        <f t="shared" si="1"/>
        <v>PD-012</v>
      </c>
      <c r="B13" s="3" t="s">
        <v>100</v>
      </c>
    </row>
    <row r="14" ht="22.5" customHeight="1">
      <c r="A14" s="2" t="str">
        <f t="shared" si="1"/>
        <v>PD-013</v>
      </c>
      <c r="B14" s="3" t="s">
        <v>102</v>
      </c>
      <c r="C14" s="3" t="s">
        <v>7</v>
      </c>
      <c r="D14" s="3" t="s">
        <v>21</v>
      </c>
    </row>
    <row r="15" ht="22.5" customHeight="1">
      <c r="A15" s="2" t="str">
        <f t="shared" si="1"/>
        <v>PD-014</v>
      </c>
      <c r="B15" s="3" t="s">
        <v>109</v>
      </c>
      <c r="C15" s="3" t="s">
        <v>7</v>
      </c>
      <c r="D15" s="3" t="s">
        <v>21</v>
      </c>
    </row>
    <row r="16" ht="22.5" customHeight="1">
      <c r="A16" s="2" t="str">
        <f t="shared" si="1"/>
        <v>PD-015</v>
      </c>
      <c r="B16" s="3" t="s">
        <v>117</v>
      </c>
      <c r="C16" s="3" t="s">
        <v>6</v>
      </c>
      <c r="D16" s="3" t="s">
        <v>120</v>
      </c>
    </row>
    <row r="17" ht="22.5" customHeight="1">
      <c r="A17" s="2" t="str">
        <f t="shared" si="1"/>
        <v>PD-016</v>
      </c>
      <c r="B17" s="3" t="s">
        <v>125</v>
      </c>
      <c r="C17" s="3" t="s">
        <v>48</v>
      </c>
      <c r="D17" s="3" t="s">
        <v>128</v>
      </c>
    </row>
    <row r="18" ht="22.5" customHeight="1">
      <c r="A18" s="2" t="str">
        <f t="shared" si="1"/>
        <v>PD-017</v>
      </c>
      <c r="B18" s="3" t="s">
        <v>100</v>
      </c>
    </row>
    <row r="19" ht="22.5" customHeight="1">
      <c r="A19" s="2" t="str">
        <f t="shared" si="1"/>
        <v>PD-018</v>
      </c>
      <c r="B19" s="3" t="s">
        <v>133</v>
      </c>
      <c r="C19" s="3" t="s">
        <v>43</v>
      </c>
      <c r="D19" s="3" t="s">
        <v>135</v>
      </c>
    </row>
    <row r="20" ht="22.5" customHeight="1">
      <c r="A20" s="2" t="str">
        <f t="shared" si="1"/>
        <v>PD-019</v>
      </c>
      <c r="B20" s="3" t="s">
        <v>139</v>
      </c>
      <c r="C20" s="3" t="s">
        <v>7</v>
      </c>
      <c r="D20" s="3" t="s">
        <v>21</v>
      </c>
    </row>
    <row r="21" ht="22.5" customHeight="1">
      <c r="A21" s="2" t="str">
        <f t="shared" si="1"/>
        <v>PD-020</v>
      </c>
      <c r="B21" s="3" t="s">
        <v>142</v>
      </c>
      <c r="C21" s="3" t="s">
        <v>20</v>
      </c>
      <c r="D21" s="3" t="s">
        <v>50</v>
      </c>
    </row>
    <row r="22" ht="22.5" customHeight="1">
      <c r="A22" s="2" t="str">
        <f t="shared" si="1"/>
        <v>PD-021</v>
      </c>
      <c r="B22" s="3" t="s">
        <v>100</v>
      </c>
    </row>
    <row r="23" ht="22.5" customHeight="1">
      <c r="A23" s="2" t="str">
        <f t="shared" si="1"/>
        <v>PD-022</v>
      </c>
      <c r="B23" s="3" t="s">
        <v>147</v>
      </c>
      <c r="C23" s="3" t="s">
        <v>43</v>
      </c>
      <c r="D23" s="3" t="s">
        <v>150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580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53.5"/>
    <col customWidth="1" min="3" max="3" width="31.38"/>
    <col customWidth="1" min="4" max="4" width="8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tr">
        <f>"UF-"&amp;TEXT(ROW(UF[[#HEADERS],[ID]]),"000")</f>
        <v>UF-001</v>
      </c>
      <c r="B2" s="3" t="s">
        <v>14</v>
      </c>
      <c r="C2" s="3" t="s">
        <v>13</v>
      </c>
      <c r="D2" s="3" t="s">
        <v>17</v>
      </c>
    </row>
    <row r="3" ht="22.5" customHeight="1">
      <c r="A3" s="2" t="str">
        <f t="shared" ref="A3:A23" si="1">"UF-"&amp;TEXT(ROW(A2),"000")</f>
        <v>UF-002</v>
      </c>
      <c r="B3" s="3" t="s">
        <v>28</v>
      </c>
      <c r="C3" s="3" t="s">
        <v>20</v>
      </c>
      <c r="D3" s="3" t="s">
        <v>22</v>
      </c>
    </row>
    <row r="4" ht="22.5" customHeight="1">
      <c r="A4" s="2" t="str">
        <f t="shared" si="1"/>
        <v>UF-003</v>
      </c>
      <c r="B4" s="3" t="s">
        <v>39</v>
      </c>
      <c r="C4" s="3" t="s">
        <v>26</v>
      </c>
      <c r="D4" s="3" t="s">
        <v>29</v>
      </c>
    </row>
    <row r="5" ht="22.5" customHeight="1">
      <c r="A5" s="2" t="str">
        <f t="shared" si="1"/>
        <v>UF-004</v>
      </c>
      <c r="B5" s="3" t="s">
        <v>47</v>
      </c>
      <c r="C5" s="3" t="s">
        <v>32</v>
      </c>
      <c r="D5" s="3" t="s">
        <v>51</v>
      </c>
    </row>
    <row r="6" ht="22.5" customHeight="1">
      <c r="A6" s="2" t="str">
        <f t="shared" si="1"/>
        <v>UF-005</v>
      </c>
      <c r="B6" s="3" t="s">
        <v>55</v>
      </c>
      <c r="C6" s="3" t="s">
        <v>26</v>
      </c>
      <c r="D6" s="3" t="s">
        <v>46</v>
      </c>
    </row>
    <row r="7" ht="22.5" customHeight="1">
      <c r="A7" s="2" t="str">
        <f t="shared" si="1"/>
        <v>UF-006</v>
      </c>
      <c r="B7" s="3" t="s">
        <v>58</v>
      </c>
      <c r="C7" s="3" t="s">
        <v>32</v>
      </c>
      <c r="D7" s="3" t="s">
        <v>62</v>
      </c>
    </row>
    <row r="8" ht="22.5" customHeight="1">
      <c r="A8" s="2" t="str">
        <f t="shared" si="1"/>
        <v>UF-007</v>
      </c>
      <c r="B8" s="3" t="s">
        <v>65</v>
      </c>
      <c r="C8" s="3" t="s">
        <v>48</v>
      </c>
      <c r="D8" s="3" t="s">
        <v>68</v>
      </c>
    </row>
    <row r="9" ht="22.5" customHeight="1">
      <c r="A9" s="2" t="str">
        <f t="shared" si="1"/>
        <v>UF-008</v>
      </c>
      <c r="B9" s="3" t="s">
        <v>70</v>
      </c>
      <c r="C9" s="3" t="s">
        <v>32</v>
      </c>
      <c r="D9" s="3" t="s">
        <v>72</v>
      </c>
    </row>
    <row r="10" ht="22.5" customHeight="1">
      <c r="A10" s="2" t="str">
        <f t="shared" si="1"/>
        <v>UF-009</v>
      </c>
      <c r="B10" s="3" t="s">
        <v>75</v>
      </c>
      <c r="C10" s="3" t="s">
        <v>48</v>
      </c>
      <c r="D10" s="3" t="s">
        <v>77</v>
      </c>
    </row>
    <row r="11" ht="22.5" customHeight="1">
      <c r="A11" s="2" t="str">
        <f t="shared" si="1"/>
        <v>UF-010</v>
      </c>
      <c r="B11" s="3" t="s">
        <v>80</v>
      </c>
      <c r="C11" s="3" t="s">
        <v>26</v>
      </c>
      <c r="D11" s="3" t="s">
        <v>46</v>
      </c>
    </row>
    <row r="12" ht="22.5" customHeight="1">
      <c r="A12" s="2" t="str">
        <f t="shared" si="1"/>
        <v>UF-011</v>
      </c>
      <c r="B12" s="3" t="s">
        <v>84</v>
      </c>
      <c r="C12" s="3" t="s">
        <v>43</v>
      </c>
      <c r="D12" s="3" t="s">
        <v>87</v>
      </c>
    </row>
    <row r="13" ht="22.5" customHeight="1">
      <c r="A13" s="2" t="str">
        <f t="shared" si="1"/>
        <v>UF-012</v>
      </c>
      <c r="B13" s="3" t="s">
        <v>90</v>
      </c>
      <c r="C13" s="3" t="s">
        <v>32</v>
      </c>
      <c r="D13" s="3" t="s">
        <v>92</v>
      </c>
    </row>
    <row r="14" ht="22.5" customHeight="1">
      <c r="A14" s="2" t="str">
        <f t="shared" si="1"/>
        <v>UF-013</v>
      </c>
      <c r="B14" s="3" t="s">
        <v>95</v>
      </c>
      <c r="C14" s="3" t="s">
        <v>35</v>
      </c>
      <c r="D14" s="3" t="s">
        <v>71</v>
      </c>
    </row>
    <row r="15" ht="22.5" customHeight="1">
      <c r="A15" s="2" t="str">
        <f t="shared" si="1"/>
        <v>UF-014</v>
      </c>
      <c r="B15" s="3" t="s">
        <v>98</v>
      </c>
      <c r="C15" s="3" t="s">
        <v>26</v>
      </c>
      <c r="D15" s="3" t="s">
        <v>29</v>
      </c>
    </row>
    <row r="16" ht="22.5" customHeight="1">
      <c r="A16" s="2" t="str">
        <f t="shared" si="1"/>
        <v>UF-015</v>
      </c>
      <c r="B16" s="3" t="s">
        <v>103</v>
      </c>
      <c r="C16" s="3" t="s">
        <v>43</v>
      </c>
      <c r="D16" s="3" t="s">
        <v>106</v>
      </c>
    </row>
    <row r="17" ht="22.5" customHeight="1">
      <c r="A17" s="2" t="str">
        <f t="shared" si="1"/>
        <v>UF-016</v>
      </c>
      <c r="B17" s="3" t="s">
        <v>107</v>
      </c>
      <c r="C17" s="3" t="s">
        <v>48</v>
      </c>
      <c r="D17" s="3" t="s">
        <v>111</v>
      </c>
    </row>
    <row r="18" ht="22.5" customHeight="1">
      <c r="A18" s="2" t="str">
        <f t="shared" si="1"/>
        <v>UF-017</v>
      </c>
      <c r="B18" s="3" t="s">
        <v>113</v>
      </c>
      <c r="C18" s="3" t="s">
        <v>43</v>
      </c>
      <c r="D18" s="3" t="s">
        <v>115</v>
      </c>
    </row>
    <row r="19" ht="22.5" customHeight="1">
      <c r="A19" s="2" t="str">
        <f t="shared" si="1"/>
        <v>UF-018</v>
      </c>
      <c r="B19" s="3" t="s">
        <v>119</v>
      </c>
      <c r="C19" s="3" t="s">
        <v>35</v>
      </c>
      <c r="D19" s="3" t="s">
        <v>121</v>
      </c>
    </row>
    <row r="20" ht="22.5" customHeight="1">
      <c r="A20" s="2" t="str">
        <f t="shared" si="1"/>
        <v>UF-019</v>
      </c>
      <c r="B20" s="3" t="s">
        <v>124</v>
      </c>
      <c r="C20" s="3" t="s">
        <v>35</v>
      </c>
      <c r="D20" s="3" t="s">
        <v>126</v>
      </c>
    </row>
    <row r="21" ht="22.5" customHeight="1">
      <c r="A21" s="2" t="str">
        <f t="shared" si="1"/>
        <v>UF-020</v>
      </c>
      <c r="B21" s="3" t="s">
        <v>129</v>
      </c>
      <c r="C21" s="3" t="s">
        <v>48</v>
      </c>
      <c r="D21" s="3" t="s">
        <v>130</v>
      </c>
    </row>
    <row r="22" ht="22.5" customHeight="1">
      <c r="A22" s="2" t="str">
        <f t="shared" si="1"/>
        <v>UF-021</v>
      </c>
      <c r="B22" s="3" t="s">
        <v>132</v>
      </c>
      <c r="C22" s="3" t="s">
        <v>32</v>
      </c>
      <c r="D22" s="3" t="s">
        <v>62</v>
      </c>
    </row>
    <row r="23" ht="22.5" customHeight="1">
      <c r="A23" s="2" t="str">
        <f t="shared" si="1"/>
        <v>UF-022</v>
      </c>
      <c r="B23" s="3" t="s">
        <v>136</v>
      </c>
      <c r="C23" s="3" t="s">
        <v>43</v>
      </c>
      <c r="D23" s="3" t="s">
        <v>138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948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53.5"/>
    <col customWidth="1" min="3" max="3" width="31.38"/>
    <col customWidth="1" min="4" max="4" width="8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tr">
        <f t="shared" ref="A2:A19" si="1">"EQ-"&amp;TEXT(ROW(A1),"000")</f>
        <v>EQ-001</v>
      </c>
      <c r="B2" s="3" t="s">
        <v>149</v>
      </c>
      <c r="C2" s="3" t="s">
        <v>13</v>
      </c>
      <c r="D2" s="3" t="s">
        <v>21</v>
      </c>
    </row>
    <row r="3" ht="22.5" customHeight="1">
      <c r="A3" s="2" t="str">
        <f t="shared" si="1"/>
        <v>EQ-002</v>
      </c>
      <c r="B3" s="3" t="s">
        <v>154</v>
      </c>
      <c r="C3" s="3" t="s">
        <v>13</v>
      </c>
      <c r="D3" s="3" t="s">
        <v>156</v>
      </c>
    </row>
    <row r="4" ht="22.5" customHeight="1">
      <c r="A4" s="2" t="str">
        <f t="shared" si="1"/>
        <v>EQ-003</v>
      </c>
      <c r="B4" s="3" t="s">
        <v>158</v>
      </c>
      <c r="C4" s="3" t="s">
        <v>20</v>
      </c>
      <c r="D4" s="3" t="s">
        <v>160</v>
      </c>
    </row>
    <row r="5" ht="22.5" customHeight="1">
      <c r="A5" s="2" t="str">
        <f t="shared" si="1"/>
        <v>EQ-004</v>
      </c>
      <c r="B5" s="3" t="s">
        <v>163</v>
      </c>
      <c r="C5" s="3" t="s">
        <v>48</v>
      </c>
      <c r="D5" s="3" t="s">
        <v>167</v>
      </c>
    </row>
    <row r="6" ht="22.5" customHeight="1">
      <c r="A6" s="2" t="str">
        <f t="shared" si="1"/>
        <v>EQ-005</v>
      </c>
      <c r="B6" s="3" t="s">
        <v>170</v>
      </c>
      <c r="C6" s="3" t="s">
        <v>6</v>
      </c>
      <c r="D6" s="3" t="s">
        <v>173</v>
      </c>
    </row>
    <row r="7" ht="22.5" customHeight="1">
      <c r="A7" s="2" t="str">
        <f t="shared" si="1"/>
        <v>EQ-006</v>
      </c>
      <c r="B7" s="3" t="s">
        <v>178</v>
      </c>
      <c r="C7" s="3" t="s">
        <v>35</v>
      </c>
      <c r="D7" s="3" t="s">
        <v>126</v>
      </c>
    </row>
    <row r="8" ht="22.5" customHeight="1">
      <c r="A8" s="2" t="str">
        <f t="shared" si="1"/>
        <v>EQ-007</v>
      </c>
      <c r="B8" s="3" t="s">
        <v>187</v>
      </c>
      <c r="C8" s="3" t="s">
        <v>32</v>
      </c>
      <c r="D8" s="3" t="s">
        <v>51</v>
      </c>
    </row>
    <row r="9" ht="22.5" customHeight="1">
      <c r="A9" s="2" t="str">
        <f t="shared" si="1"/>
        <v>EQ-008</v>
      </c>
      <c r="B9" s="3" t="s">
        <v>194</v>
      </c>
      <c r="C9" s="3" t="s">
        <v>7</v>
      </c>
      <c r="D9" s="3" t="s">
        <v>165</v>
      </c>
    </row>
    <row r="10" ht="22.5" customHeight="1">
      <c r="A10" s="2" t="str">
        <f t="shared" si="1"/>
        <v>EQ-009</v>
      </c>
      <c r="B10" s="3" t="s">
        <v>202</v>
      </c>
      <c r="C10" s="3" t="s">
        <v>48</v>
      </c>
      <c r="D10" s="3" t="s">
        <v>167</v>
      </c>
    </row>
    <row r="11" ht="22.5" customHeight="1">
      <c r="A11" s="2" t="str">
        <f t="shared" si="1"/>
        <v>EQ-010</v>
      </c>
      <c r="B11" s="3" t="s">
        <v>207</v>
      </c>
      <c r="C11" s="3" t="s">
        <v>32</v>
      </c>
      <c r="D11" s="3" t="s">
        <v>51</v>
      </c>
    </row>
    <row r="12" ht="22.5" customHeight="1">
      <c r="A12" s="2" t="str">
        <f t="shared" si="1"/>
        <v>EQ-011</v>
      </c>
      <c r="B12" s="3" t="s">
        <v>213</v>
      </c>
      <c r="C12" s="3" t="s">
        <v>7</v>
      </c>
      <c r="D12" s="3" t="s">
        <v>165</v>
      </c>
    </row>
    <row r="13" ht="22.5" customHeight="1">
      <c r="A13" s="2" t="str">
        <f t="shared" si="1"/>
        <v>EQ-012</v>
      </c>
      <c r="B13" s="3" t="s">
        <v>220</v>
      </c>
      <c r="C13" s="3" t="s">
        <v>7</v>
      </c>
      <c r="D13" s="3" t="s">
        <v>165</v>
      </c>
    </row>
    <row r="14" ht="22.5" customHeight="1">
      <c r="A14" s="2" t="str">
        <f t="shared" si="1"/>
        <v>EQ-013</v>
      </c>
      <c r="B14" s="3" t="s">
        <v>224</v>
      </c>
      <c r="C14" s="3" t="s">
        <v>48</v>
      </c>
      <c r="D14" s="3" t="s">
        <v>229</v>
      </c>
    </row>
    <row r="15" ht="22.5" customHeight="1">
      <c r="A15" s="2" t="str">
        <f t="shared" si="1"/>
        <v>EQ-014</v>
      </c>
      <c r="B15" s="3" t="s">
        <v>233</v>
      </c>
      <c r="C15" s="3" t="s">
        <v>7</v>
      </c>
      <c r="D15" s="3" t="s">
        <v>165</v>
      </c>
    </row>
    <row r="16" ht="22.5" customHeight="1">
      <c r="A16" s="2" t="str">
        <f t="shared" si="1"/>
        <v>EQ-015</v>
      </c>
      <c r="B16" s="3" t="s">
        <v>242</v>
      </c>
      <c r="C16" s="3" t="s">
        <v>26</v>
      </c>
      <c r="D16" s="3" t="s">
        <v>29</v>
      </c>
    </row>
    <row r="17" ht="22.5" customHeight="1">
      <c r="A17" s="2" t="str">
        <f t="shared" si="1"/>
        <v>EQ-016</v>
      </c>
      <c r="B17" s="3" t="s">
        <v>252</v>
      </c>
      <c r="C17" s="3" t="s">
        <v>48</v>
      </c>
      <c r="D17" s="3" t="s">
        <v>229</v>
      </c>
    </row>
    <row r="18" ht="22.5" customHeight="1">
      <c r="A18" s="2" t="str">
        <f t="shared" si="1"/>
        <v>EQ-017</v>
      </c>
      <c r="B18" s="3" t="s">
        <v>262</v>
      </c>
      <c r="C18" s="3" t="s">
        <v>32</v>
      </c>
      <c r="D18" s="3" t="s">
        <v>46</v>
      </c>
    </row>
    <row r="19" ht="22.5" customHeight="1">
      <c r="A19" s="2" t="str">
        <f t="shared" si="1"/>
        <v>EQ-018</v>
      </c>
      <c r="B19" s="3" t="s">
        <v>267</v>
      </c>
      <c r="C19" s="3" t="s">
        <v>32</v>
      </c>
      <c r="D19" s="3" t="s">
        <v>273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3AE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53.5"/>
    <col customWidth="1" min="3" max="3" width="31.38"/>
    <col customWidth="1" min="4" max="4" width="8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tr">
        <f t="shared" ref="A2:A21" si="1">"ER-"&amp;TEXT(ROW(A1),"000")</f>
        <v>ER-001</v>
      </c>
      <c r="B2" s="3" t="s">
        <v>162</v>
      </c>
      <c r="C2" s="3" t="s">
        <v>7</v>
      </c>
      <c r="D2" s="3" t="s">
        <v>165</v>
      </c>
    </row>
    <row r="3" ht="22.5" customHeight="1">
      <c r="A3" s="2" t="str">
        <f t="shared" si="1"/>
        <v>ER-002</v>
      </c>
      <c r="B3" s="3" t="s">
        <v>169</v>
      </c>
      <c r="C3" s="3" t="s">
        <v>13</v>
      </c>
      <c r="D3" s="3" t="s">
        <v>21</v>
      </c>
    </row>
    <row r="4" ht="22.5" customHeight="1">
      <c r="A4" s="2" t="str">
        <f t="shared" si="1"/>
        <v>ER-003</v>
      </c>
      <c r="B4" s="3" t="s">
        <v>174</v>
      </c>
      <c r="C4" s="3" t="s">
        <v>6</v>
      </c>
      <c r="D4" s="3" t="s">
        <v>177</v>
      </c>
    </row>
    <row r="5" ht="22.5" customHeight="1">
      <c r="A5" s="2" t="str">
        <f t="shared" si="1"/>
        <v>ER-004</v>
      </c>
      <c r="B5" s="3" t="s">
        <v>181</v>
      </c>
      <c r="C5" s="3" t="s">
        <v>26</v>
      </c>
      <c r="D5" s="3" t="s">
        <v>46</v>
      </c>
    </row>
    <row r="6" ht="22.5" customHeight="1">
      <c r="A6" s="2" t="str">
        <f t="shared" si="1"/>
        <v>ER-005</v>
      </c>
      <c r="B6" s="3" t="s">
        <v>186</v>
      </c>
      <c r="C6" s="3" t="s">
        <v>26</v>
      </c>
      <c r="D6" s="3" t="s">
        <v>29</v>
      </c>
    </row>
    <row r="7" ht="22.5" customHeight="1">
      <c r="A7" s="2" t="str">
        <f t="shared" si="1"/>
        <v>ER-006</v>
      </c>
      <c r="B7" s="3" t="s">
        <v>195</v>
      </c>
      <c r="C7" s="3" t="s">
        <v>26</v>
      </c>
      <c r="D7" s="3" t="s">
        <v>29</v>
      </c>
    </row>
    <row r="8" ht="22.5" customHeight="1">
      <c r="A8" s="2" t="str">
        <f t="shared" si="1"/>
        <v>ER-007</v>
      </c>
      <c r="B8" s="3" t="s">
        <v>200</v>
      </c>
      <c r="C8" s="3" t="s">
        <v>48</v>
      </c>
      <c r="D8" s="3" t="s">
        <v>203</v>
      </c>
    </row>
    <row r="9" ht="22.5" customHeight="1">
      <c r="A9" s="2" t="str">
        <f t="shared" si="1"/>
        <v>ER-008</v>
      </c>
      <c r="B9" s="3" t="s">
        <v>204</v>
      </c>
      <c r="C9" s="3" t="s">
        <v>20</v>
      </c>
      <c r="D9" s="3" t="s">
        <v>50</v>
      </c>
    </row>
    <row r="10" ht="22.5" customHeight="1">
      <c r="A10" s="2" t="str">
        <f t="shared" si="1"/>
        <v>ER-009</v>
      </c>
      <c r="B10" s="3" t="s">
        <v>208</v>
      </c>
      <c r="C10" s="3" t="s">
        <v>26</v>
      </c>
      <c r="D10" s="3" t="s">
        <v>29</v>
      </c>
    </row>
    <row r="11" ht="22.5" customHeight="1">
      <c r="A11" s="2" t="str">
        <f t="shared" si="1"/>
        <v>ER-010</v>
      </c>
      <c r="B11" s="3" t="s">
        <v>212</v>
      </c>
      <c r="C11" s="3" t="s">
        <v>48</v>
      </c>
      <c r="D11" s="3" t="s">
        <v>214</v>
      </c>
    </row>
    <row r="12" ht="22.5" customHeight="1">
      <c r="A12" s="2" t="str">
        <f t="shared" si="1"/>
        <v>ER-011</v>
      </c>
      <c r="B12" s="3" t="s">
        <v>217</v>
      </c>
      <c r="C12" s="3" t="s">
        <v>35</v>
      </c>
      <c r="D12" s="3" t="s">
        <v>219</v>
      </c>
    </row>
    <row r="13" ht="22.5" customHeight="1">
      <c r="A13" s="2" t="str">
        <f t="shared" si="1"/>
        <v>ER-012</v>
      </c>
      <c r="B13" s="3" t="s">
        <v>234</v>
      </c>
      <c r="C13" s="3" t="s">
        <v>48</v>
      </c>
      <c r="D13" s="3" t="s">
        <v>236</v>
      </c>
    </row>
    <row r="14" ht="22.5" customHeight="1">
      <c r="A14" s="2" t="str">
        <f t="shared" si="1"/>
        <v>ER-013</v>
      </c>
      <c r="B14" s="3" t="s">
        <v>240</v>
      </c>
      <c r="C14" s="3" t="s">
        <v>48</v>
      </c>
      <c r="D14" s="3" t="s">
        <v>243</v>
      </c>
    </row>
    <row r="15" ht="22.5" customHeight="1">
      <c r="A15" s="2" t="str">
        <f t="shared" si="1"/>
        <v>ER-014</v>
      </c>
      <c r="B15" s="3" t="s">
        <v>248</v>
      </c>
      <c r="C15" s="3" t="s">
        <v>32</v>
      </c>
      <c r="D15" s="3" t="s">
        <v>255</v>
      </c>
    </row>
    <row r="16" ht="22.5" customHeight="1">
      <c r="A16" s="2" t="str">
        <f t="shared" si="1"/>
        <v>ER-015</v>
      </c>
      <c r="B16" s="3" t="s">
        <v>257</v>
      </c>
      <c r="C16" s="3" t="s">
        <v>35</v>
      </c>
      <c r="D16" s="3" t="s">
        <v>261</v>
      </c>
    </row>
    <row r="17" ht="22.5" customHeight="1">
      <c r="A17" s="2" t="str">
        <f t="shared" si="1"/>
        <v>ER-016</v>
      </c>
      <c r="B17" s="3" t="s">
        <v>264</v>
      </c>
      <c r="C17" s="3" t="s">
        <v>26</v>
      </c>
      <c r="D17" s="3" t="s">
        <v>29</v>
      </c>
    </row>
    <row r="18" ht="22.5" customHeight="1">
      <c r="A18" s="2" t="str">
        <f t="shared" si="1"/>
        <v>ER-017</v>
      </c>
      <c r="B18" s="3" t="s">
        <v>268</v>
      </c>
      <c r="C18" s="3" t="s">
        <v>48</v>
      </c>
      <c r="D18" s="3" t="s">
        <v>271</v>
      </c>
    </row>
    <row r="19" ht="22.5" customHeight="1">
      <c r="A19" s="2" t="str">
        <f t="shared" si="1"/>
        <v>ER-018</v>
      </c>
      <c r="B19" s="3" t="s">
        <v>275</v>
      </c>
      <c r="C19" s="3" t="s">
        <v>7</v>
      </c>
      <c r="D19" s="3" t="s">
        <v>165</v>
      </c>
    </row>
    <row r="20" ht="22.5" customHeight="1">
      <c r="A20" s="2" t="str">
        <f t="shared" si="1"/>
        <v>ER-019</v>
      </c>
      <c r="B20" s="3" t="s">
        <v>281</v>
      </c>
      <c r="C20" s="3" t="s">
        <v>6</v>
      </c>
      <c r="D20" s="3" t="s">
        <v>284</v>
      </c>
    </row>
    <row r="21" ht="22.5" customHeight="1">
      <c r="A21" s="2" t="str">
        <f t="shared" si="1"/>
        <v>ER-020</v>
      </c>
      <c r="B21" s="3" t="s">
        <v>288</v>
      </c>
      <c r="C21" s="3" t="s">
        <v>32</v>
      </c>
      <c r="D21" s="3" t="s">
        <v>290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4ED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53.5"/>
    <col customWidth="1" min="3" max="3" width="31.38"/>
    <col customWidth="1" min="4" max="4" width="8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3" t="s">
        <v>172</v>
      </c>
      <c r="B2" s="3" t="s">
        <v>176</v>
      </c>
      <c r="C2" s="3" t="s">
        <v>6</v>
      </c>
      <c r="D2" s="3" t="s">
        <v>180</v>
      </c>
    </row>
    <row r="3" ht="22.5" customHeight="1">
      <c r="A3" s="3" t="s">
        <v>182</v>
      </c>
      <c r="B3" s="3" t="s">
        <v>184</v>
      </c>
      <c r="C3" s="3" t="s">
        <v>20</v>
      </c>
      <c r="D3" s="3" t="s">
        <v>188</v>
      </c>
    </row>
    <row r="4" ht="22.5" customHeight="1">
      <c r="A4" s="3" t="s">
        <v>190</v>
      </c>
      <c r="B4" s="3" t="s">
        <v>192</v>
      </c>
      <c r="C4" s="3" t="s">
        <v>20</v>
      </c>
      <c r="D4" s="3" t="s">
        <v>198</v>
      </c>
    </row>
    <row r="5" ht="22.5" customHeight="1">
      <c r="A5" s="3" t="s">
        <v>199</v>
      </c>
      <c r="B5" s="3" t="s">
        <v>201</v>
      </c>
      <c r="C5" s="3" t="s">
        <v>6</v>
      </c>
      <c r="D5" s="3" t="s">
        <v>180</v>
      </c>
    </row>
    <row r="6" ht="22.5" customHeight="1">
      <c r="A6" s="3" t="s">
        <v>205</v>
      </c>
      <c r="B6" s="3" t="s">
        <v>206</v>
      </c>
      <c r="C6" s="3" t="s">
        <v>20</v>
      </c>
      <c r="D6" s="3" t="s">
        <v>209</v>
      </c>
    </row>
    <row r="7" ht="22.5" customHeight="1">
      <c r="A7" s="3" t="s">
        <v>210</v>
      </c>
      <c r="B7" s="3" t="s">
        <v>211</v>
      </c>
      <c r="C7" s="3" t="s">
        <v>48</v>
      </c>
      <c r="D7" s="3" t="s">
        <v>215</v>
      </c>
    </row>
    <row r="8" ht="22.5" customHeight="1">
      <c r="A8" s="3" t="s">
        <v>216</v>
      </c>
      <c r="B8" s="3" t="s">
        <v>218</v>
      </c>
      <c r="C8" s="3" t="s">
        <v>32</v>
      </c>
      <c r="D8" s="3" t="s">
        <v>188</v>
      </c>
    </row>
    <row r="9" ht="22.5" customHeight="1">
      <c r="A9" s="3" t="s">
        <v>221</v>
      </c>
      <c r="B9" s="3" t="s">
        <v>222</v>
      </c>
      <c r="C9" s="3" t="s">
        <v>32</v>
      </c>
      <c r="D9" s="3" t="s">
        <v>51</v>
      </c>
    </row>
    <row r="10" ht="22.5" customHeight="1">
      <c r="A10" s="3" t="s">
        <v>226</v>
      </c>
      <c r="B10" s="3" t="s">
        <v>228</v>
      </c>
      <c r="C10" s="3" t="s">
        <v>48</v>
      </c>
      <c r="D10" s="3" t="s">
        <v>232</v>
      </c>
    </row>
    <row r="11" ht="22.5" customHeight="1">
      <c r="A11" s="3" t="s">
        <v>235</v>
      </c>
      <c r="B11" s="3" t="s">
        <v>237</v>
      </c>
      <c r="C11" s="3" t="s">
        <v>48</v>
      </c>
      <c r="D11" s="3" t="s">
        <v>227</v>
      </c>
    </row>
    <row r="12" ht="22.5" customHeight="1">
      <c r="A12" s="3" t="s">
        <v>244</v>
      </c>
      <c r="B12" s="3" t="s">
        <v>246</v>
      </c>
      <c r="C12" s="3" t="s">
        <v>6</v>
      </c>
      <c r="D12" s="3" t="s">
        <v>180</v>
      </c>
    </row>
    <row r="13" ht="22.5" customHeight="1">
      <c r="A13" s="3" t="s">
        <v>251</v>
      </c>
      <c r="B13" s="3" t="s">
        <v>254</v>
      </c>
      <c r="C13" s="3" t="s">
        <v>32</v>
      </c>
      <c r="D13" s="3" t="s">
        <v>188</v>
      </c>
    </row>
    <row r="14" ht="22.5" customHeight="1">
      <c r="A14" s="3" t="s">
        <v>259</v>
      </c>
      <c r="B14" s="3" t="s">
        <v>263</v>
      </c>
      <c r="C14" s="3" t="s">
        <v>32</v>
      </c>
      <c r="D14" s="3" t="s">
        <v>62</v>
      </c>
    </row>
    <row r="15" ht="22.5" customHeight="1">
      <c r="A15" s="3" t="s">
        <v>266</v>
      </c>
      <c r="B15" s="3" t="s">
        <v>269</v>
      </c>
      <c r="C15" s="3" t="s">
        <v>20</v>
      </c>
      <c r="D15" s="3" t="s">
        <v>274</v>
      </c>
    </row>
    <row r="16" ht="22.5" customHeight="1">
      <c r="A16" s="3" t="s">
        <v>276</v>
      </c>
      <c r="B16" s="3" t="s">
        <v>278</v>
      </c>
      <c r="C16" s="3" t="s">
        <v>20</v>
      </c>
      <c r="D16" s="3" t="s">
        <v>282</v>
      </c>
    </row>
    <row r="17" ht="22.5" customHeight="1">
      <c r="A17" s="3" t="s">
        <v>283</v>
      </c>
      <c r="B17" s="3" t="s">
        <v>286</v>
      </c>
      <c r="C17" s="3" t="s">
        <v>20</v>
      </c>
      <c r="D17" s="3" t="s">
        <v>277</v>
      </c>
    </row>
    <row r="18" ht="22.5" customHeight="1">
      <c r="A18" s="3" t="s">
        <v>292</v>
      </c>
      <c r="B18" s="3" t="s">
        <v>294</v>
      </c>
      <c r="C18" s="3" t="s">
        <v>32</v>
      </c>
      <c r="D18" s="3" t="s">
        <v>62</v>
      </c>
    </row>
    <row r="19" ht="22.5" customHeight="1">
      <c r="A19" s="3" t="s">
        <v>298</v>
      </c>
      <c r="B19" s="3" t="s">
        <v>299</v>
      </c>
      <c r="C19" s="3" t="s">
        <v>43</v>
      </c>
      <c r="D19" s="3" t="s">
        <v>302</v>
      </c>
    </row>
    <row r="20" ht="22.5" customHeight="1">
      <c r="A20" s="3" t="s">
        <v>304</v>
      </c>
      <c r="B20" s="3" t="s">
        <v>306</v>
      </c>
      <c r="C20" s="3" t="s">
        <v>35</v>
      </c>
      <c r="D20" s="3" t="s">
        <v>310</v>
      </c>
    </row>
    <row r="21" ht="22.5" customHeight="1">
      <c r="A21" s="3" t="s">
        <v>313</v>
      </c>
      <c r="B21" s="3" t="s">
        <v>317</v>
      </c>
      <c r="C21" s="3" t="s">
        <v>48</v>
      </c>
      <c r="D21" s="3" t="s">
        <v>322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1C1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53.5"/>
    <col customWidth="1" min="3" max="3" width="31.38"/>
    <col customWidth="1" min="4" max="4" width="8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3" t="s">
        <v>223</v>
      </c>
      <c r="B2" s="3" t="s">
        <v>225</v>
      </c>
      <c r="C2" s="3" t="s">
        <v>48</v>
      </c>
      <c r="D2" s="3" t="s">
        <v>227</v>
      </c>
    </row>
    <row r="3" ht="22.5" customHeight="1">
      <c r="A3" s="3" t="s">
        <v>230</v>
      </c>
      <c r="B3" s="3" t="s">
        <v>231</v>
      </c>
      <c r="C3" s="3" t="s">
        <v>20</v>
      </c>
      <c r="D3" s="3" t="s">
        <v>51</v>
      </c>
    </row>
    <row r="4" ht="22.5" customHeight="1">
      <c r="A4" s="3" t="s">
        <v>238</v>
      </c>
      <c r="B4" s="3" t="s">
        <v>239</v>
      </c>
      <c r="C4" s="3" t="s">
        <v>32</v>
      </c>
      <c r="D4" s="3" t="s">
        <v>241</v>
      </c>
    </row>
    <row r="5" ht="22.5" customHeight="1">
      <c r="A5" s="3" t="s">
        <v>245</v>
      </c>
      <c r="B5" s="3" t="s">
        <v>247</v>
      </c>
      <c r="C5" s="3" t="s">
        <v>32</v>
      </c>
      <c r="D5" s="3" t="s">
        <v>249</v>
      </c>
    </row>
    <row r="6" ht="22.5" customHeight="1">
      <c r="A6" s="3" t="s">
        <v>250</v>
      </c>
      <c r="B6" s="3" t="s">
        <v>253</v>
      </c>
      <c r="C6" s="3" t="s">
        <v>32</v>
      </c>
      <c r="D6" s="3" t="s">
        <v>256</v>
      </c>
    </row>
    <row r="7" ht="22.5" customHeight="1">
      <c r="A7" s="3" t="s">
        <v>258</v>
      </c>
      <c r="B7" s="3" t="s">
        <v>260</v>
      </c>
      <c r="C7" s="3" t="s">
        <v>32</v>
      </c>
      <c r="D7" s="3" t="s">
        <v>51</v>
      </c>
    </row>
    <row r="8" ht="22.5" customHeight="1">
      <c r="A8" s="3" t="s">
        <v>265</v>
      </c>
      <c r="B8" s="3" t="s">
        <v>145</v>
      </c>
      <c r="C8" s="3" t="s">
        <v>32</v>
      </c>
      <c r="D8" s="3" t="s">
        <v>62</v>
      </c>
    </row>
    <row r="9" ht="22.5" customHeight="1">
      <c r="A9" s="3" t="s">
        <v>270</v>
      </c>
      <c r="B9" s="3" t="s">
        <v>272</v>
      </c>
      <c r="C9" s="3" t="s">
        <v>20</v>
      </c>
      <c r="D9" s="3" t="s">
        <v>277</v>
      </c>
    </row>
    <row r="10" ht="22.5" customHeight="1">
      <c r="A10" s="3" t="s">
        <v>279</v>
      </c>
      <c r="B10" s="3" t="s">
        <v>280</v>
      </c>
      <c r="C10" s="3" t="s">
        <v>48</v>
      </c>
      <c r="D10" s="3" t="s">
        <v>227</v>
      </c>
    </row>
    <row r="11" ht="22.5" customHeight="1">
      <c r="A11" s="3" t="s">
        <v>285</v>
      </c>
      <c r="B11" s="3" t="s">
        <v>287</v>
      </c>
      <c r="C11" s="3" t="s">
        <v>20</v>
      </c>
      <c r="D11" s="3" t="s">
        <v>289</v>
      </c>
    </row>
    <row r="12" ht="22.5" customHeight="1">
      <c r="A12" s="3" t="s">
        <v>291</v>
      </c>
      <c r="B12" s="3" t="s">
        <v>293</v>
      </c>
      <c r="C12" s="3" t="s">
        <v>32</v>
      </c>
      <c r="D12" s="3" t="s">
        <v>295</v>
      </c>
    </row>
    <row r="13" ht="22.5" customHeight="1">
      <c r="A13" s="3" t="s">
        <v>296</v>
      </c>
      <c r="B13" s="3" t="s">
        <v>297</v>
      </c>
      <c r="C13" s="3" t="s">
        <v>32</v>
      </c>
      <c r="D13" s="3" t="s">
        <v>300</v>
      </c>
    </row>
    <row r="14" ht="22.5" customHeight="1">
      <c r="A14" s="3" t="s">
        <v>301</v>
      </c>
      <c r="B14" s="3" t="s">
        <v>303</v>
      </c>
      <c r="C14" s="3" t="s">
        <v>20</v>
      </c>
      <c r="D14" s="3" t="s">
        <v>307</v>
      </c>
    </row>
    <row r="15" ht="22.5" customHeight="1">
      <c r="A15" s="3" t="s">
        <v>309</v>
      </c>
      <c r="B15" s="3" t="s">
        <v>311</v>
      </c>
      <c r="C15" s="3" t="s">
        <v>20</v>
      </c>
      <c r="D15" s="3" t="s">
        <v>314</v>
      </c>
    </row>
    <row r="16" ht="22.5" customHeight="1">
      <c r="A16" s="3" t="s">
        <v>321</v>
      </c>
      <c r="B16" s="3" t="s">
        <v>323</v>
      </c>
      <c r="C16" s="3" t="s">
        <v>32</v>
      </c>
      <c r="D16" s="3" t="s">
        <v>326</v>
      </c>
    </row>
    <row r="17" ht="22.5" customHeight="1">
      <c r="A17" s="3" t="s">
        <v>328</v>
      </c>
      <c r="B17" s="3" t="s">
        <v>330</v>
      </c>
      <c r="C17" s="3" t="s">
        <v>20</v>
      </c>
      <c r="D17" s="3" t="s">
        <v>333</v>
      </c>
    </row>
    <row r="18" ht="22.5" customHeight="1">
      <c r="A18" s="3" t="s">
        <v>334</v>
      </c>
      <c r="B18" s="3" t="s">
        <v>336</v>
      </c>
      <c r="C18" s="3" t="s">
        <v>32</v>
      </c>
      <c r="D18" s="3" t="s">
        <v>340</v>
      </c>
    </row>
    <row r="19" ht="22.5" customHeight="1">
      <c r="A19" s="3" t="s">
        <v>342</v>
      </c>
      <c r="B19" s="3" t="s">
        <v>345</v>
      </c>
      <c r="C19" s="3" t="s">
        <v>20</v>
      </c>
      <c r="D19" s="3" t="s">
        <v>277</v>
      </c>
    </row>
    <row r="20" ht="22.5" customHeight="1">
      <c r="A20" s="3" t="s">
        <v>350</v>
      </c>
      <c r="B20" s="3" t="s">
        <v>352</v>
      </c>
      <c r="C20" s="3" t="s">
        <v>26</v>
      </c>
      <c r="D20" s="3" t="s">
        <v>256</v>
      </c>
    </row>
    <row r="21" ht="22.5" customHeight="1">
      <c r="A21" s="3" t="s">
        <v>356</v>
      </c>
      <c r="B21" s="3" t="s">
        <v>359</v>
      </c>
      <c r="C21" s="3" t="s">
        <v>26</v>
      </c>
      <c r="D21" s="3" t="s">
        <v>362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91B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53.5"/>
    <col customWidth="1" min="3" max="3" width="31.38"/>
    <col customWidth="1" min="4" max="4" width="8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3" t="s">
        <v>305</v>
      </c>
      <c r="B2" s="3" t="s">
        <v>308</v>
      </c>
      <c r="C2" s="3" t="s">
        <v>7</v>
      </c>
      <c r="D2" s="3" t="s">
        <v>312</v>
      </c>
    </row>
    <row r="3" ht="22.5" customHeight="1">
      <c r="A3" s="3" t="s">
        <v>315</v>
      </c>
      <c r="B3" s="3" t="s">
        <v>316</v>
      </c>
      <c r="C3" s="3" t="s">
        <v>13</v>
      </c>
      <c r="D3" s="3" t="s">
        <v>312</v>
      </c>
    </row>
    <row r="4" ht="22.5" customHeight="1">
      <c r="A4" s="3" t="s">
        <v>319</v>
      </c>
      <c r="B4" s="3" t="s">
        <v>320</v>
      </c>
      <c r="C4" s="3" t="s">
        <v>6</v>
      </c>
      <c r="D4" s="3" t="s">
        <v>227</v>
      </c>
    </row>
    <row r="5" ht="22.5" customHeight="1">
      <c r="A5" s="3" t="s">
        <v>327</v>
      </c>
      <c r="B5" s="3" t="s">
        <v>329</v>
      </c>
      <c r="C5" s="3" t="s">
        <v>20</v>
      </c>
      <c r="D5" s="3" t="s">
        <v>51</v>
      </c>
    </row>
    <row r="6" ht="22.5" customHeight="1">
      <c r="A6" s="3" t="s">
        <v>335</v>
      </c>
      <c r="B6" s="3" t="s">
        <v>338</v>
      </c>
      <c r="C6" s="3" t="s">
        <v>48</v>
      </c>
      <c r="D6" s="3" t="s">
        <v>343</v>
      </c>
    </row>
    <row r="7" ht="22.5" customHeight="1">
      <c r="A7" s="3" t="s">
        <v>347</v>
      </c>
      <c r="B7" s="3" t="s">
        <v>348</v>
      </c>
      <c r="C7" s="3" t="s">
        <v>20</v>
      </c>
      <c r="D7" s="3" t="s">
        <v>277</v>
      </c>
    </row>
    <row r="8" ht="22.5" customHeight="1">
      <c r="A8" s="3" t="s">
        <v>355</v>
      </c>
      <c r="B8" s="3" t="s">
        <v>358</v>
      </c>
      <c r="C8" s="3" t="s">
        <v>32</v>
      </c>
      <c r="D8" s="3" t="s">
        <v>241</v>
      </c>
    </row>
    <row r="9" ht="22.5" customHeight="1">
      <c r="A9" s="3" t="s">
        <v>366</v>
      </c>
      <c r="B9" s="3" t="s">
        <v>368</v>
      </c>
      <c r="C9" s="3" t="s">
        <v>6</v>
      </c>
      <c r="D9" s="3" t="s">
        <v>227</v>
      </c>
    </row>
    <row r="10" ht="22.5" customHeight="1">
      <c r="A10" s="3" t="s">
        <v>373</v>
      </c>
      <c r="B10" s="3" t="s">
        <v>375</v>
      </c>
      <c r="C10" s="3" t="s">
        <v>20</v>
      </c>
      <c r="D10" s="3" t="s">
        <v>378</v>
      </c>
    </row>
    <row r="11" ht="22.5" customHeight="1">
      <c r="A11" s="3" t="s">
        <v>382</v>
      </c>
      <c r="B11" s="3" t="s">
        <v>383</v>
      </c>
      <c r="C11" s="3" t="s">
        <v>32</v>
      </c>
      <c r="D11" s="3" t="s">
        <v>388</v>
      </c>
    </row>
    <row r="12" ht="22.5" customHeight="1">
      <c r="A12" s="3" t="s">
        <v>391</v>
      </c>
      <c r="B12" s="3" t="s">
        <v>394</v>
      </c>
      <c r="C12" s="3" t="s">
        <v>20</v>
      </c>
      <c r="D12" s="3" t="s">
        <v>397</v>
      </c>
    </row>
    <row r="13" ht="22.5" customHeight="1">
      <c r="A13" s="3" t="s">
        <v>402</v>
      </c>
      <c r="B13" s="3" t="s">
        <v>404</v>
      </c>
      <c r="C13" s="3" t="s">
        <v>48</v>
      </c>
      <c r="D13" s="3" t="s">
        <v>227</v>
      </c>
    </row>
    <row r="14" ht="22.5" customHeight="1">
      <c r="A14" s="3" t="s">
        <v>409</v>
      </c>
      <c r="B14" s="3" t="s">
        <v>414</v>
      </c>
      <c r="C14" s="3" t="s">
        <v>7</v>
      </c>
      <c r="D14" s="3" t="s">
        <v>312</v>
      </c>
    </row>
    <row r="15" ht="22.5" customHeight="1">
      <c r="A15" s="3" t="s">
        <v>421</v>
      </c>
      <c r="B15" s="3" t="s">
        <v>425</v>
      </c>
      <c r="C15" s="3" t="s">
        <v>20</v>
      </c>
      <c r="D15" s="3" t="s">
        <v>426</v>
      </c>
    </row>
    <row r="16" ht="22.5" customHeight="1">
      <c r="A16" s="3" t="s">
        <v>430</v>
      </c>
      <c r="B16" s="3" t="s">
        <v>433</v>
      </c>
      <c r="C16" s="3" t="s">
        <v>32</v>
      </c>
      <c r="D16" s="3" t="s">
        <v>435</v>
      </c>
    </row>
    <row r="17" ht="22.5" customHeight="1">
      <c r="A17" s="3" t="s">
        <v>439</v>
      </c>
      <c r="B17" s="3" t="s">
        <v>440</v>
      </c>
      <c r="C17" s="3" t="s">
        <v>7</v>
      </c>
      <c r="D17" s="3" t="s">
        <v>312</v>
      </c>
    </row>
    <row r="18" ht="22.5" customHeight="1">
      <c r="A18" s="3" t="s">
        <v>446</v>
      </c>
      <c r="B18" s="3" t="s">
        <v>448</v>
      </c>
      <c r="C18" s="3" t="s">
        <v>7</v>
      </c>
      <c r="D18" s="3" t="s">
        <v>312</v>
      </c>
    </row>
    <row r="19" ht="22.5" customHeight="1">
      <c r="A19" s="3" t="s">
        <v>456</v>
      </c>
      <c r="B19" s="3" t="s">
        <v>460</v>
      </c>
      <c r="C19" s="3" t="s">
        <v>26</v>
      </c>
      <c r="D19" s="3" t="s">
        <v>464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5A30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53.5"/>
    <col customWidth="1" min="3" max="3" width="31.38"/>
    <col customWidth="1" min="4" max="4" width="8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3" t="s">
        <v>318</v>
      </c>
      <c r="B2" s="3" t="s">
        <v>5</v>
      </c>
      <c r="C2" s="3" t="s">
        <v>6</v>
      </c>
      <c r="D2" s="3" t="s">
        <v>180</v>
      </c>
    </row>
    <row r="3" ht="22.5" customHeight="1">
      <c r="A3" s="3" t="s">
        <v>324</v>
      </c>
      <c r="B3" s="3" t="s">
        <v>325</v>
      </c>
      <c r="C3" s="3" t="s">
        <v>7</v>
      </c>
      <c r="D3" s="3" t="s">
        <v>312</v>
      </c>
    </row>
    <row r="4" ht="22.5" customHeight="1">
      <c r="A4" s="3" t="s">
        <v>331</v>
      </c>
      <c r="B4" s="3" t="s">
        <v>332</v>
      </c>
      <c r="C4" s="3" t="s">
        <v>6</v>
      </c>
      <c r="D4" s="3" t="s">
        <v>322</v>
      </c>
    </row>
    <row r="5" ht="22.5" customHeight="1">
      <c r="A5" s="3" t="s">
        <v>337</v>
      </c>
      <c r="B5" s="3" t="s">
        <v>339</v>
      </c>
      <c r="C5" s="3" t="s">
        <v>32</v>
      </c>
      <c r="D5" s="3" t="s">
        <v>341</v>
      </c>
    </row>
    <row r="6" ht="22.5" customHeight="1">
      <c r="A6" s="3" t="s">
        <v>344</v>
      </c>
      <c r="B6" s="3" t="s">
        <v>346</v>
      </c>
      <c r="C6" s="3" t="s">
        <v>20</v>
      </c>
      <c r="D6" s="3" t="s">
        <v>349</v>
      </c>
    </row>
    <row r="7" ht="22.5" customHeight="1">
      <c r="A7" s="3" t="s">
        <v>351</v>
      </c>
      <c r="B7" s="3" t="s">
        <v>353</v>
      </c>
      <c r="C7" s="3" t="s">
        <v>7</v>
      </c>
      <c r="D7" s="3" t="s">
        <v>354</v>
      </c>
    </row>
    <row r="8" ht="22.5" customHeight="1">
      <c r="A8" s="3" t="s">
        <v>357</v>
      </c>
      <c r="B8" s="3" t="s">
        <v>360</v>
      </c>
      <c r="C8" s="3" t="s">
        <v>6</v>
      </c>
      <c r="D8" s="3" t="s">
        <v>227</v>
      </c>
    </row>
    <row r="9" ht="22.5" customHeight="1">
      <c r="A9" s="3" t="s">
        <v>364</v>
      </c>
      <c r="B9" s="3" t="s">
        <v>365</v>
      </c>
      <c r="C9" s="3" t="s">
        <v>7</v>
      </c>
      <c r="D9" s="3" t="s">
        <v>312</v>
      </c>
    </row>
    <row r="10" ht="22.5" customHeight="1">
      <c r="A10" s="3" t="s">
        <v>369</v>
      </c>
      <c r="B10" s="3" t="s">
        <v>371</v>
      </c>
      <c r="C10" s="3" t="s">
        <v>48</v>
      </c>
      <c r="D10" s="3" t="s">
        <v>277</v>
      </c>
    </row>
    <row r="11" ht="22.5" customHeight="1">
      <c r="A11" s="3" t="s">
        <v>374</v>
      </c>
      <c r="B11" s="3" t="s">
        <v>376</v>
      </c>
      <c r="C11" s="3" t="s">
        <v>6</v>
      </c>
      <c r="D11" s="3" t="s">
        <v>322</v>
      </c>
    </row>
    <row r="12" ht="22.5" customHeight="1">
      <c r="A12" s="3" t="s">
        <v>379</v>
      </c>
      <c r="B12" s="3" t="s">
        <v>381</v>
      </c>
      <c r="C12" s="3" t="s">
        <v>20</v>
      </c>
      <c r="D12" s="3" t="s">
        <v>341</v>
      </c>
    </row>
    <row r="13" ht="22.5" customHeight="1">
      <c r="A13" s="3" t="s">
        <v>385</v>
      </c>
      <c r="B13" s="3" t="s">
        <v>386</v>
      </c>
      <c r="C13" s="3" t="s">
        <v>7</v>
      </c>
      <c r="D13" s="3" t="s">
        <v>390</v>
      </c>
    </row>
    <row r="14" ht="22.5" customHeight="1">
      <c r="A14" s="3" t="s">
        <v>392</v>
      </c>
      <c r="B14" s="3" t="s">
        <v>393</v>
      </c>
      <c r="C14" s="3" t="s">
        <v>32</v>
      </c>
      <c r="D14" s="3" t="s">
        <v>341</v>
      </c>
    </row>
    <row r="15" ht="22.5" customHeight="1">
      <c r="A15" s="3" t="s">
        <v>398</v>
      </c>
      <c r="B15" s="3" t="s">
        <v>401</v>
      </c>
      <c r="C15" s="3" t="s">
        <v>20</v>
      </c>
      <c r="D15" s="3" t="s">
        <v>277</v>
      </c>
    </row>
    <row r="16" ht="22.5" customHeight="1">
      <c r="A16" s="3" t="s">
        <v>405</v>
      </c>
      <c r="B16" s="3" t="s">
        <v>407</v>
      </c>
      <c r="C16" s="3" t="s">
        <v>48</v>
      </c>
      <c r="D16" s="3" t="s">
        <v>410</v>
      </c>
    </row>
    <row r="17" ht="22.5" customHeight="1">
      <c r="A17" s="3" t="s">
        <v>412</v>
      </c>
      <c r="B17" s="3" t="s">
        <v>415</v>
      </c>
      <c r="C17" s="3" t="s">
        <v>48</v>
      </c>
      <c r="D17" s="3" t="s">
        <v>419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33EA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53.5"/>
    <col customWidth="1" min="3" max="3" width="31.38"/>
    <col customWidth="1" min="4" max="4" width="8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3" t="s">
        <v>361</v>
      </c>
      <c r="B2" s="3" t="s">
        <v>363</v>
      </c>
      <c r="C2" s="3" t="s">
        <v>20</v>
      </c>
      <c r="D2" s="3" t="s">
        <v>367</v>
      </c>
    </row>
    <row r="3" ht="22.5" customHeight="1">
      <c r="A3" s="3" t="s">
        <v>370</v>
      </c>
      <c r="B3" s="3" t="s">
        <v>372</v>
      </c>
      <c r="C3" s="3" t="s">
        <v>20</v>
      </c>
      <c r="D3" s="3" t="s">
        <v>367</v>
      </c>
    </row>
    <row r="4" ht="22.5" customHeight="1">
      <c r="A4" s="3" t="s">
        <v>377</v>
      </c>
      <c r="B4" s="3" t="s">
        <v>380</v>
      </c>
      <c r="C4" s="3" t="s">
        <v>48</v>
      </c>
      <c r="D4" s="3" t="s">
        <v>384</v>
      </c>
    </row>
    <row r="5" ht="22.5" customHeight="1">
      <c r="A5" s="3" t="s">
        <v>387</v>
      </c>
      <c r="B5" s="3" t="s">
        <v>389</v>
      </c>
      <c r="C5" s="3" t="s">
        <v>32</v>
      </c>
      <c r="D5" s="3" t="s">
        <v>395</v>
      </c>
    </row>
    <row r="6" ht="22.5" customHeight="1">
      <c r="A6" s="3" t="s">
        <v>396</v>
      </c>
      <c r="B6" s="3" t="s">
        <v>400</v>
      </c>
      <c r="C6" s="3" t="s">
        <v>32</v>
      </c>
      <c r="D6" s="3" t="s">
        <v>340</v>
      </c>
    </row>
    <row r="7" ht="22.5" customHeight="1">
      <c r="A7" s="3" t="s">
        <v>408</v>
      </c>
      <c r="B7" s="3" t="s">
        <v>411</v>
      </c>
      <c r="C7" s="3" t="s">
        <v>7</v>
      </c>
      <c r="D7" s="3" t="s">
        <v>417</v>
      </c>
    </row>
    <row r="8" ht="22.5" customHeight="1">
      <c r="A8" s="3" t="s">
        <v>420</v>
      </c>
      <c r="B8" s="3" t="s">
        <v>423</v>
      </c>
      <c r="C8" s="3" t="s">
        <v>32</v>
      </c>
      <c r="D8" s="3" t="s">
        <v>341</v>
      </c>
    </row>
    <row r="9" ht="22.5" customHeight="1">
      <c r="A9" s="3" t="s">
        <v>427</v>
      </c>
      <c r="B9" s="3" t="s">
        <v>429</v>
      </c>
      <c r="C9" s="3" t="s">
        <v>20</v>
      </c>
      <c r="D9" s="3" t="s">
        <v>367</v>
      </c>
    </row>
    <row r="10" ht="22.5" customHeight="1">
      <c r="A10" s="3" t="s">
        <v>434</v>
      </c>
      <c r="B10" s="3" t="s">
        <v>437</v>
      </c>
      <c r="C10" s="3" t="s">
        <v>20</v>
      </c>
      <c r="D10" s="3" t="s">
        <v>441</v>
      </c>
    </row>
    <row r="11" ht="22.5" customHeight="1">
      <c r="A11" s="3" t="s">
        <v>443</v>
      </c>
      <c r="B11" s="3" t="s">
        <v>445</v>
      </c>
      <c r="C11" s="3" t="s">
        <v>20</v>
      </c>
      <c r="D11" s="3" t="s">
        <v>367</v>
      </c>
    </row>
    <row r="12" ht="22.5" customHeight="1">
      <c r="A12" s="3" t="s">
        <v>453</v>
      </c>
      <c r="B12" s="3" t="s">
        <v>454</v>
      </c>
      <c r="C12" s="3" t="s">
        <v>32</v>
      </c>
      <c r="D12" s="3" t="s">
        <v>395</v>
      </c>
    </row>
    <row r="13" ht="22.5" customHeight="1">
      <c r="A13" s="3" t="s">
        <v>462</v>
      </c>
      <c r="B13" s="3" t="s">
        <v>465</v>
      </c>
      <c r="C13" s="3" t="s">
        <v>32</v>
      </c>
      <c r="D13" s="3" t="s">
        <v>470</v>
      </c>
    </row>
    <row r="14" ht="22.5" customHeight="1">
      <c r="A14" s="3" t="s">
        <v>471</v>
      </c>
      <c r="B14" s="3" t="s">
        <v>474</v>
      </c>
      <c r="C14" s="3" t="s">
        <v>48</v>
      </c>
      <c r="D14" s="3" t="s">
        <v>384</v>
      </c>
    </row>
    <row r="15" ht="22.5" customHeight="1">
      <c r="A15" s="3" t="s">
        <v>480</v>
      </c>
      <c r="B15" s="3" t="s">
        <v>482</v>
      </c>
      <c r="C15" s="3" t="s">
        <v>35</v>
      </c>
      <c r="D15" s="3" t="s">
        <v>485</v>
      </c>
    </row>
    <row r="16" ht="22.5" customHeight="1">
      <c r="A16" s="3" t="s">
        <v>487</v>
      </c>
      <c r="B16" s="3" t="s">
        <v>490</v>
      </c>
      <c r="C16" s="3" t="s">
        <v>20</v>
      </c>
      <c r="D16" s="3" t="s">
        <v>282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277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53.5"/>
    <col customWidth="1" min="3" max="3" width="31.38"/>
    <col customWidth="1" min="4" max="4" width="8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3" t="s">
        <v>399</v>
      </c>
      <c r="B2" s="3" t="s">
        <v>403</v>
      </c>
      <c r="C2" s="3" t="s">
        <v>43</v>
      </c>
      <c r="D2" s="3" t="s">
        <v>312</v>
      </c>
    </row>
    <row r="3" ht="22.5" customHeight="1">
      <c r="A3" s="3" t="s">
        <v>406</v>
      </c>
      <c r="B3" s="3" t="s">
        <v>134</v>
      </c>
      <c r="C3" s="3" t="s">
        <v>32</v>
      </c>
      <c r="D3" s="3" t="s">
        <v>413</v>
      </c>
    </row>
    <row r="4" ht="22.5" customHeight="1">
      <c r="A4" s="3" t="s">
        <v>416</v>
      </c>
      <c r="B4" s="3" t="s">
        <v>418</v>
      </c>
      <c r="C4" s="3" t="s">
        <v>32</v>
      </c>
      <c r="D4" s="3" t="s">
        <v>422</v>
      </c>
    </row>
    <row r="5" ht="22.5" customHeight="1">
      <c r="A5" s="3" t="s">
        <v>424</v>
      </c>
      <c r="B5" s="3" t="s">
        <v>143</v>
      </c>
      <c r="C5" s="3" t="s">
        <v>32</v>
      </c>
      <c r="D5" s="3" t="s">
        <v>428</v>
      </c>
    </row>
    <row r="6" ht="22.5" customHeight="1">
      <c r="A6" s="3" t="s">
        <v>431</v>
      </c>
      <c r="B6" s="3" t="s">
        <v>432</v>
      </c>
      <c r="C6" s="3" t="s">
        <v>32</v>
      </c>
      <c r="D6" s="3" t="s">
        <v>92</v>
      </c>
    </row>
    <row r="7" ht="22.5" customHeight="1">
      <c r="A7" s="3" t="s">
        <v>436</v>
      </c>
      <c r="B7" s="3" t="s">
        <v>438</v>
      </c>
      <c r="C7" s="3" t="s">
        <v>32</v>
      </c>
      <c r="D7" s="3" t="s">
        <v>62</v>
      </c>
    </row>
    <row r="8" ht="22.5" customHeight="1">
      <c r="A8" s="3" t="s">
        <v>442</v>
      </c>
      <c r="B8" s="3" t="s">
        <v>444</v>
      </c>
      <c r="C8" s="3" t="s">
        <v>32</v>
      </c>
      <c r="D8" s="3" t="s">
        <v>447</v>
      </c>
    </row>
    <row r="9" ht="22.5" customHeight="1">
      <c r="A9" s="3" t="s">
        <v>449</v>
      </c>
      <c r="B9" s="3" t="s">
        <v>451</v>
      </c>
      <c r="C9" s="3" t="s">
        <v>48</v>
      </c>
      <c r="D9" s="3" t="s">
        <v>322</v>
      </c>
    </row>
    <row r="10" ht="22.5" customHeight="1">
      <c r="A10" s="3" t="s">
        <v>457</v>
      </c>
      <c r="B10" s="3" t="s">
        <v>459</v>
      </c>
      <c r="C10" s="3" t="s">
        <v>20</v>
      </c>
      <c r="D10" s="3" t="s">
        <v>463</v>
      </c>
    </row>
    <row r="11" ht="22.5" customHeight="1">
      <c r="A11" s="3" t="s">
        <v>466</v>
      </c>
      <c r="B11" s="3" t="s">
        <v>468</v>
      </c>
      <c r="C11" s="3" t="s">
        <v>48</v>
      </c>
      <c r="D11" s="3" t="s">
        <v>227</v>
      </c>
    </row>
    <row r="12" ht="22.5" customHeight="1">
      <c r="A12" s="3" t="s">
        <v>473</v>
      </c>
      <c r="B12" s="3" t="s">
        <v>476</v>
      </c>
      <c r="C12" s="3" t="s">
        <v>7</v>
      </c>
      <c r="D12" s="3" t="s">
        <v>312</v>
      </c>
    </row>
    <row r="13" ht="22.5" customHeight="1">
      <c r="A13" s="3" t="s">
        <v>479</v>
      </c>
      <c r="B13" s="3" t="s">
        <v>481</v>
      </c>
      <c r="C13" s="3" t="s">
        <v>32</v>
      </c>
      <c r="D13" s="3" t="s">
        <v>92</v>
      </c>
    </row>
    <row r="14" ht="22.5" customHeight="1">
      <c r="A14" s="3" t="s">
        <v>486</v>
      </c>
      <c r="B14" s="3" t="s">
        <v>488</v>
      </c>
      <c r="C14" s="3" t="s">
        <v>20</v>
      </c>
      <c r="D14" s="3" t="s">
        <v>492</v>
      </c>
    </row>
    <row r="15" ht="22.5" customHeight="1">
      <c r="A15" s="3" t="s">
        <v>493</v>
      </c>
      <c r="B15" s="3" t="s">
        <v>495</v>
      </c>
      <c r="C15" s="3" t="s">
        <v>32</v>
      </c>
      <c r="D15" s="3" t="s">
        <v>62</v>
      </c>
    </row>
    <row r="16" ht="22.5" customHeight="1">
      <c r="A16" s="3" t="s">
        <v>500</v>
      </c>
      <c r="B16" s="3" t="s">
        <v>503</v>
      </c>
      <c r="C16" s="3" t="s">
        <v>7</v>
      </c>
      <c r="D16" s="3" t="s">
        <v>312</v>
      </c>
    </row>
    <row r="17" ht="22.5" customHeight="1">
      <c r="A17" s="3" t="s">
        <v>506</v>
      </c>
      <c r="B17" s="3" t="s">
        <v>509</v>
      </c>
      <c r="C17" s="3" t="s">
        <v>35</v>
      </c>
      <c r="D17" s="3" t="s">
        <v>310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1620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53.5"/>
    <col customWidth="1" min="3" max="3" width="31.38"/>
    <col customWidth="1" min="4" max="4" width="8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3" t="s">
        <v>450</v>
      </c>
      <c r="B2" s="3" t="s">
        <v>452</v>
      </c>
      <c r="C2" s="3" t="s">
        <v>6</v>
      </c>
      <c r="D2" s="3" t="s">
        <v>455</v>
      </c>
    </row>
    <row r="3" ht="22.5" customHeight="1">
      <c r="A3" s="3" t="s">
        <v>458</v>
      </c>
      <c r="B3" s="3" t="s">
        <v>461</v>
      </c>
      <c r="C3" s="3" t="s">
        <v>32</v>
      </c>
      <c r="D3" s="3" t="s">
        <v>341</v>
      </c>
    </row>
    <row r="4" ht="22.5" customHeight="1">
      <c r="A4" s="3" t="s">
        <v>467</v>
      </c>
      <c r="B4" s="3" t="s">
        <v>469</v>
      </c>
      <c r="C4" s="3" t="s">
        <v>48</v>
      </c>
      <c r="D4" s="3" t="s">
        <v>455</v>
      </c>
    </row>
    <row r="5" ht="22.5" customHeight="1">
      <c r="A5" s="3" t="s">
        <v>472</v>
      </c>
      <c r="B5" s="3" t="s">
        <v>475</v>
      </c>
      <c r="C5" s="3" t="s">
        <v>48</v>
      </c>
      <c r="D5" s="3" t="s">
        <v>455</v>
      </c>
    </row>
    <row r="6" ht="22.5" customHeight="1">
      <c r="A6" s="3" t="s">
        <v>477</v>
      </c>
      <c r="B6" s="3" t="s">
        <v>478</v>
      </c>
      <c r="C6" s="3" t="s">
        <v>20</v>
      </c>
      <c r="D6" s="3" t="s">
        <v>277</v>
      </c>
    </row>
    <row r="7" ht="22.5" customHeight="1">
      <c r="A7" s="3" t="s">
        <v>483</v>
      </c>
      <c r="B7" s="3" t="s">
        <v>484</v>
      </c>
      <c r="C7" s="3" t="s">
        <v>7</v>
      </c>
      <c r="D7" s="3" t="s">
        <v>312</v>
      </c>
    </row>
    <row r="8" ht="22.5" customHeight="1">
      <c r="A8" s="3" t="s">
        <v>489</v>
      </c>
      <c r="B8" s="3" t="s">
        <v>491</v>
      </c>
      <c r="C8" s="3" t="s">
        <v>7</v>
      </c>
      <c r="D8" s="3" t="s">
        <v>312</v>
      </c>
    </row>
    <row r="9" ht="22.5" customHeight="1">
      <c r="A9" s="3" t="s">
        <v>494</v>
      </c>
      <c r="B9" s="3" t="s">
        <v>497</v>
      </c>
      <c r="C9" s="3" t="s">
        <v>20</v>
      </c>
      <c r="D9" s="3" t="s">
        <v>492</v>
      </c>
    </row>
    <row r="10" ht="22.5" customHeight="1">
      <c r="A10" s="3" t="s">
        <v>499</v>
      </c>
      <c r="B10" s="3" t="s">
        <v>501</v>
      </c>
      <c r="C10" s="3" t="s">
        <v>7</v>
      </c>
      <c r="D10" s="3" t="s">
        <v>390</v>
      </c>
    </row>
    <row r="11" ht="22.5" customHeight="1">
      <c r="A11" s="3" t="s">
        <v>505</v>
      </c>
      <c r="B11" s="3" t="s">
        <v>507</v>
      </c>
      <c r="C11" s="3" t="s">
        <v>20</v>
      </c>
      <c r="D11" s="3" t="s">
        <v>511</v>
      </c>
    </row>
    <row r="12" ht="22.5" customHeight="1">
      <c r="A12" s="3" t="s">
        <v>512</v>
      </c>
      <c r="B12" s="3" t="s">
        <v>514</v>
      </c>
      <c r="C12" s="3" t="s">
        <v>32</v>
      </c>
      <c r="D12" s="3" t="s">
        <v>518</v>
      </c>
    </row>
    <row r="13" ht="22.5" customHeight="1">
      <c r="A13" s="3" t="s">
        <v>520</v>
      </c>
      <c r="B13" s="3" t="s">
        <v>521</v>
      </c>
      <c r="C13" s="3" t="s">
        <v>32</v>
      </c>
      <c r="D13" s="3" t="s">
        <v>341</v>
      </c>
    </row>
    <row r="14" ht="22.5" customHeight="1">
      <c r="A14" s="3" t="s">
        <v>527</v>
      </c>
      <c r="B14" s="3" t="s">
        <v>530</v>
      </c>
      <c r="C14" s="3" t="s">
        <v>7</v>
      </c>
      <c r="D14" s="3" t="s">
        <v>312</v>
      </c>
    </row>
    <row r="15" ht="22.5" customHeight="1">
      <c r="A15" s="3" t="s">
        <v>536</v>
      </c>
      <c r="B15" s="3" t="s">
        <v>538</v>
      </c>
      <c r="C15" s="3" t="s">
        <v>7</v>
      </c>
      <c r="D15" s="3" t="s">
        <v>543</v>
      </c>
    </row>
    <row r="16" ht="22.5" customHeight="1">
      <c r="A16" s="3" t="s">
        <v>545</v>
      </c>
      <c r="B16" s="3" t="s">
        <v>547</v>
      </c>
      <c r="C16" s="3" t="s">
        <v>20</v>
      </c>
      <c r="D16" s="3" t="s">
        <v>492</v>
      </c>
    </row>
    <row r="17" ht="22.5" customHeight="1">
      <c r="A17" s="3" t="s">
        <v>553</v>
      </c>
      <c r="B17" s="3" t="s">
        <v>555</v>
      </c>
      <c r="C17" s="3" t="s">
        <v>32</v>
      </c>
      <c r="D17" s="3" t="s">
        <v>340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1D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53.5"/>
    <col customWidth="1" min="3" max="3" width="31.38"/>
    <col customWidth="1" min="4" max="4" width="8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3" t="s">
        <v>496</v>
      </c>
      <c r="B2" s="3" t="s">
        <v>498</v>
      </c>
      <c r="C2" s="3" t="s">
        <v>26</v>
      </c>
      <c r="D2" s="3" t="s">
        <v>256</v>
      </c>
    </row>
    <row r="3" ht="22.5" customHeight="1">
      <c r="A3" s="3" t="s">
        <v>502</v>
      </c>
      <c r="B3" s="3" t="s">
        <v>504</v>
      </c>
      <c r="C3" s="3" t="s">
        <v>26</v>
      </c>
      <c r="D3" s="3" t="s">
        <v>256</v>
      </c>
    </row>
    <row r="4" ht="22.5" customHeight="1">
      <c r="A4" s="3" t="s">
        <v>508</v>
      </c>
      <c r="B4" s="3" t="s">
        <v>510</v>
      </c>
      <c r="C4" s="3" t="s">
        <v>32</v>
      </c>
      <c r="D4" s="3" t="s">
        <v>513</v>
      </c>
    </row>
    <row r="5" ht="22.5" customHeight="1">
      <c r="A5" s="3" t="s">
        <v>515</v>
      </c>
      <c r="B5" s="3" t="s">
        <v>42</v>
      </c>
      <c r="C5" s="3" t="s">
        <v>26</v>
      </c>
      <c r="D5" s="3" t="s">
        <v>256</v>
      </c>
    </row>
    <row r="6" ht="22.5" customHeight="1">
      <c r="A6" s="3" t="s">
        <v>523</v>
      </c>
      <c r="B6" s="3" t="s">
        <v>525</v>
      </c>
      <c r="C6" s="3" t="s">
        <v>26</v>
      </c>
      <c r="D6" s="3" t="s">
        <v>528</v>
      </c>
    </row>
    <row r="7" ht="22.5" customHeight="1">
      <c r="A7" s="3" t="s">
        <v>531</v>
      </c>
      <c r="B7" s="3" t="s">
        <v>533</v>
      </c>
      <c r="C7" s="3" t="s">
        <v>32</v>
      </c>
      <c r="D7" s="3" t="s">
        <v>62</v>
      </c>
    </row>
    <row r="8" ht="22.5" customHeight="1">
      <c r="A8" s="3" t="s">
        <v>540</v>
      </c>
      <c r="B8" s="3" t="s">
        <v>542</v>
      </c>
      <c r="C8" s="3" t="s">
        <v>26</v>
      </c>
      <c r="D8" s="3" t="s">
        <v>256</v>
      </c>
    </row>
    <row r="9" ht="22.5" customHeight="1">
      <c r="A9" s="3" t="s">
        <v>549</v>
      </c>
      <c r="B9" s="3" t="s">
        <v>552</v>
      </c>
      <c r="C9" s="3" t="s">
        <v>32</v>
      </c>
      <c r="D9" s="3" t="s">
        <v>62</v>
      </c>
    </row>
    <row r="10" ht="22.5" customHeight="1">
      <c r="A10" s="3" t="s">
        <v>557</v>
      </c>
      <c r="B10" s="3" t="s">
        <v>559</v>
      </c>
      <c r="C10" s="3" t="s">
        <v>26</v>
      </c>
      <c r="D10" s="3" t="s">
        <v>256</v>
      </c>
    </row>
    <row r="11" ht="22.5" customHeight="1">
      <c r="A11" s="3" t="s">
        <v>566</v>
      </c>
      <c r="B11" s="3" t="s">
        <v>569</v>
      </c>
      <c r="C11" s="3" t="s">
        <v>26</v>
      </c>
      <c r="D11" s="3" t="s">
        <v>256</v>
      </c>
    </row>
    <row r="12" ht="22.5" customHeight="1">
      <c r="A12" s="3" t="s">
        <v>575</v>
      </c>
      <c r="B12" s="3" t="s">
        <v>578</v>
      </c>
      <c r="C12" s="3" t="s">
        <v>32</v>
      </c>
      <c r="D12" s="3" t="s">
        <v>51</v>
      </c>
    </row>
    <row r="13" ht="22.5" customHeight="1">
      <c r="A13" s="3" t="s">
        <v>586</v>
      </c>
      <c r="B13" s="3" t="s">
        <v>589</v>
      </c>
      <c r="C13" s="3" t="s">
        <v>32</v>
      </c>
      <c r="D13" s="3" t="s">
        <v>62</v>
      </c>
    </row>
    <row r="14" ht="22.5" customHeight="1">
      <c r="A14" s="3" t="s">
        <v>595</v>
      </c>
      <c r="B14" s="3" t="s">
        <v>597</v>
      </c>
      <c r="C14" s="3" t="s">
        <v>26</v>
      </c>
      <c r="D14" s="3" t="s">
        <v>528</v>
      </c>
    </row>
    <row r="15" ht="22.5" customHeight="1">
      <c r="A15" s="3" t="s">
        <v>603</v>
      </c>
      <c r="B15" s="3" t="s">
        <v>606</v>
      </c>
      <c r="C15" s="3" t="s">
        <v>26</v>
      </c>
      <c r="D15" s="3" t="s">
        <v>29</v>
      </c>
    </row>
    <row r="16" ht="22.5" customHeight="1">
      <c r="A16" s="3" t="s">
        <v>612</v>
      </c>
      <c r="B16" s="3" t="s">
        <v>615</v>
      </c>
      <c r="C16" s="3" t="s">
        <v>26</v>
      </c>
      <c r="D16" s="3" t="s">
        <v>29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556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81.25"/>
    <col customWidth="1" min="3" max="3" width="156.38"/>
  </cols>
  <sheetData>
    <row r="1" ht="22.5" customHeight="1">
      <c r="A1" s="1" t="s">
        <v>0</v>
      </c>
      <c r="B1" s="1" t="s">
        <v>516</v>
      </c>
      <c r="C1" s="1" t="s">
        <v>517</v>
      </c>
    </row>
    <row r="2" ht="22.5" customHeight="1">
      <c r="A2" s="3" t="s">
        <v>519</v>
      </c>
      <c r="B2" s="3" t="s">
        <v>522</v>
      </c>
      <c r="C2" s="3" t="s">
        <v>524</v>
      </c>
    </row>
    <row r="3" ht="22.5" customHeight="1">
      <c r="A3" s="3" t="s">
        <v>526</v>
      </c>
      <c r="B3" s="3" t="s">
        <v>529</v>
      </c>
      <c r="C3" s="3" t="s">
        <v>532</v>
      </c>
    </row>
    <row r="4" ht="22.5" customHeight="1">
      <c r="A4" s="3" t="s">
        <v>534</v>
      </c>
      <c r="B4" s="3" t="s">
        <v>535</v>
      </c>
      <c r="C4" s="3" t="s">
        <v>537</v>
      </c>
    </row>
    <row r="5" ht="22.5" customHeight="1">
      <c r="A5" s="3" t="s">
        <v>539</v>
      </c>
      <c r="B5" s="3" t="s">
        <v>541</v>
      </c>
      <c r="C5" s="3" t="s">
        <v>544</v>
      </c>
    </row>
    <row r="6" ht="22.5" customHeight="1">
      <c r="A6" s="3" t="s">
        <v>546</v>
      </c>
      <c r="B6" s="3" t="s">
        <v>548</v>
      </c>
      <c r="C6" s="3" t="s">
        <v>551</v>
      </c>
    </row>
    <row r="7" ht="22.5" customHeight="1">
      <c r="A7" s="3" t="s">
        <v>558</v>
      </c>
      <c r="B7" s="3" t="s">
        <v>561</v>
      </c>
      <c r="C7" s="3" t="s">
        <v>562</v>
      </c>
    </row>
    <row r="8" ht="22.5" customHeight="1">
      <c r="A8" s="3" t="s">
        <v>564</v>
      </c>
      <c r="B8" s="3" t="s">
        <v>567</v>
      </c>
      <c r="C8" s="3" t="s">
        <v>570</v>
      </c>
    </row>
    <row r="9" ht="22.5" customHeight="1">
      <c r="A9" s="3" t="s">
        <v>572</v>
      </c>
      <c r="B9" s="3" t="s">
        <v>574</v>
      </c>
      <c r="C9" s="3" t="s">
        <v>576</v>
      </c>
    </row>
    <row r="10" ht="22.5" customHeight="1">
      <c r="A10" s="3" t="s">
        <v>579</v>
      </c>
      <c r="B10" s="3" t="s">
        <v>581</v>
      </c>
      <c r="C10" s="3" t="s">
        <v>583</v>
      </c>
    </row>
    <row r="11" ht="22.5" customHeight="1">
      <c r="A11" s="3" t="s">
        <v>585</v>
      </c>
      <c r="B11" s="3" t="s">
        <v>588</v>
      </c>
      <c r="C11" s="3" t="s">
        <v>591</v>
      </c>
    </row>
    <row r="12" ht="22.5" customHeight="1">
      <c r="A12" s="3" t="s">
        <v>593</v>
      </c>
      <c r="B12" s="3" t="s">
        <v>596</v>
      </c>
      <c r="C12" s="3" t="s">
        <v>599</v>
      </c>
    </row>
    <row r="13" ht="22.5" customHeight="1">
      <c r="A13" s="3" t="s">
        <v>601</v>
      </c>
      <c r="B13" s="3" t="s">
        <v>269</v>
      </c>
      <c r="C13" s="3" t="s">
        <v>605</v>
      </c>
    </row>
    <row r="14" ht="22.5" customHeight="1">
      <c r="A14" s="3" t="s">
        <v>608</v>
      </c>
      <c r="B14" s="3" t="s">
        <v>600</v>
      </c>
      <c r="C14" s="3" t="s">
        <v>610</v>
      </c>
    </row>
    <row r="15" ht="22.5" customHeight="1">
      <c r="A15" s="3" t="s">
        <v>613</v>
      </c>
      <c r="B15" s="3" t="s">
        <v>616</v>
      </c>
      <c r="C15" s="3" t="s">
        <v>618</v>
      </c>
    </row>
    <row r="16" ht="22.5" customHeight="1">
      <c r="A16" s="3" t="s">
        <v>620</v>
      </c>
      <c r="B16" s="3" t="s">
        <v>622</v>
      </c>
      <c r="C16" s="3" t="s">
        <v>624</v>
      </c>
    </row>
    <row r="17" ht="22.5" customHeight="1">
      <c r="A17" s="3" t="s">
        <v>626</v>
      </c>
      <c r="B17" s="3" t="s">
        <v>629</v>
      </c>
      <c r="C17" s="3" t="s">
        <v>631</v>
      </c>
    </row>
    <row r="18" ht="22.5" customHeight="1">
      <c r="A18" s="3" t="s">
        <v>633</v>
      </c>
      <c r="B18" s="3" t="s">
        <v>635</v>
      </c>
      <c r="C18" s="3" t="s">
        <v>636</v>
      </c>
    </row>
    <row r="19" ht="22.5" customHeight="1">
      <c r="A19" s="3" t="s">
        <v>638</v>
      </c>
      <c r="B19" s="3" t="s">
        <v>640</v>
      </c>
      <c r="C19" s="3" t="s">
        <v>642</v>
      </c>
    </row>
    <row r="20" ht="22.5" customHeight="1">
      <c r="A20" s="3" t="s">
        <v>644</v>
      </c>
      <c r="B20" s="3" t="s">
        <v>647</v>
      </c>
      <c r="C20" s="3" t="s">
        <v>649</v>
      </c>
    </row>
    <row r="21" ht="22.5" customHeight="1">
      <c r="A21" s="3" t="s">
        <v>651</v>
      </c>
      <c r="B21" s="3" t="s">
        <v>653</v>
      </c>
      <c r="C21" s="3" t="s">
        <v>655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415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72.5"/>
    <col customWidth="1" min="3" max="3" width="131.63"/>
  </cols>
  <sheetData>
    <row r="1" ht="22.5" customHeight="1">
      <c r="A1" s="1" t="s">
        <v>0</v>
      </c>
      <c r="B1" s="1" t="s">
        <v>550</v>
      </c>
      <c r="C1" s="1" t="s">
        <v>554</v>
      </c>
    </row>
    <row r="2" ht="22.5" customHeight="1">
      <c r="A2" s="3" t="s">
        <v>556</v>
      </c>
      <c r="B2" s="3" t="s">
        <v>560</v>
      </c>
      <c r="C2" s="3" t="s">
        <v>563</v>
      </c>
    </row>
    <row r="3" ht="22.5" customHeight="1">
      <c r="A3" s="3" t="s">
        <v>565</v>
      </c>
      <c r="B3" s="3" t="s">
        <v>568</v>
      </c>
      <c r="C3" s="3" t="s">
        <v>571</v>
      </c>
    </row>
    <row r="4" ht="22.5" customHeight="1">
      <c r="A4" s="3" t="s">
        <v>573</v>
      </c>
      <c r="B4" s="3" t="s">
        <v>577</v>
      </c>
      <c r="C4" s="3" t="s">
        <v>580</v>
      </c>
    </row>
    <row r="5" ht="22.5" customHeight="1">
      <c r="A5" s="3" t="s">
        <v>582</v>
      </c>
      <c r="B5" s="3" t="s">
        <v>584</v>
      </c>
      <c r="C5" s="3" t="s">
        <v>587</v>
      </c>
    </row>
    <row r="6" ht="22.5" customHeight="1">
      <c r="A6" s="3" t="s">
        <v>590</v>
      </c>
      <c r="B6" s="3" t="s">
        <v>592</v>
      </c>
      <c r="C6" s="3" t="s">
        <v>594</v>
      </c>
    </row>
    <row r="7" ht="22.5" customHeight="1">
      <c r="A7" s="3" t="s">
        <v>598</v>
      </c>
      <c r="B7" s="3" t="s">
        <v>600</v>
      </c>
      <c r="C7" s="3" t="s">
        <v>602</v>
      </c>
    </row>
    <row r="8" ht="22.5" customHeight="1">
      <c r="A8" s="3" t="s">
        <v>604</v>
      </c>
      <c r="B8" s="3" t="s">
        <v>607</v>
      </c>
      <c r="C8" s="3" t="s">
        <v>609</v>
      </c>
    </row>
    <row r="9" ht="22.5" customHeight="1">
      <c r="A9" s="3" t="s">
        <v>611</v>
      </c>
      <c r="B9" s="3" t="s">
        <v>614</v>
      </c>
      <c r="C9" s="3" t="s">
        <v>617</v>
      </c>
    </row>
    <row r="10" ht="22.5" customHeight="1">
      <c r="A10" s="3" t="s">
        <v>619</v>
      </c>
      <c r="B10" s="3" t="s">
        <v>621</v>
      </c>
      <c r="C10" s="3" t="s">
        <v>623</v>
      </c>
    </row>
    <row r="11" ht="22.5" customHeight="1">
      <c r="A11" s="3" t="s">
        <v>625</v>
      </c>
      <c r="B11" s="3" t="s">
        <v>627</v>
      </c>
      <c r="C11" s="3" t="s">
        <v>628</v>
      </c>
    </row>
    <row r="12" ht="22.5" customHeight="1">
      <c r="A12" s="3" t="s">
        <v>630</v>
      </c>
      <c r="B12" s="3" t="s">
        <v>632</v>
      </c>
      <c r="C12" s="3" t="s">
        <v>634</v>
      </c>
    </row>
    <row r="13" ht="22.5" customHeight="1">
      <c r="A13" s="3" t="s">
        <v>637</v>
      </c>
      <c r="B13" s="3" t="s">
        <v>639</v>
      </c>
      <c r="C13" s="3" t="s">
        <v>641</v>
      </c>
    </row>
    <row r="14" ht="22.5" customHeight="1">
      <c r="A14" s="3" t="s">
        <v>643</v>
      </c>
      <c r="B14" s="3" t="s">
        <v>645</v>
      </c>
      <c r="C14" s="3" t="s">
        <v>646</v>
      </c>
    </row>
    <row r="15" ht="22.5" customHeight="1">
      <c r="A15" s="3" t="s">
        <v>648</v>
      </c>
      <c r="B15" s="3" t="s">
        <v>650</v>
      </c>
      <c r="C15" s="3" t="s">
        <v>652</v>
      </c>
    </row>
    <row r="16" ht="22.5" customHeight="1">
      <c r="A16" s="3" t="s">
        <v>654</v>
      </c>
      <c r="B16" s="3" t="s">
        <v>656</v>
      </c>
      <c r="C16" s="3" t="s">
        <v>657</v>
      </c>
    </row>
  </sheetData>
  <drawing r:id="rId1"/>
  <tableParts count="1">
    <tablePart r:id="rId3"/>
  </tableParts>
</worksheet>
</file>